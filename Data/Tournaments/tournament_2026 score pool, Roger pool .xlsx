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rekfromtexas/PycharmProjects/college-hoops/Data/Tournaments/"/>
    </mc:Choice>
  </mc:AlternateContent>
  <xr:revisionPtr revIDLastSave="0" documentId="13_ncr:1_{4205E075-44F8-4644-94A2-0E60595DFF64}" xr6:coauthVersionLast="47" xr6:coauthVersionMax="47" xr10:uidLastSave="{00000000-0000-0000-0000-000000000000}"/>
  <bookViews>
    <workbookView xWindow="0" yWindow="600" windowWidth="14420" windowHeight="17400" xr2:uid="{2ACFE008-FD15-5345-B911-50C2BC58DE00}"/>
  </bookViews>
  <sheets>
    <sheet name="tournament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 a="1"/>
  <c r="T6" i="1" s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S2" i="1" s="1" a="1"/>
  <c r="S2" i="1" s="1"/>
  <c r="K50" i="1"/>
  <c r="J51" i="1"/>
  <c r="U6" i="1" s="1" a="1"/>
  <c r="U6" i="1" s="1"/>
  <c r="K51" i="1"/>
  <c r="J52" i="1"/>
  <c r="X5" i="1" s="1" a="1"/>
  <c r="X5" i="1" s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K2" i="1"/>
  <c r="J2" i="1"/>
  <c r="S5" i="1" l="1" a="1"/>
  <c r="S5" i="1" s="1"/>
  <c r="R4" i="1" a="1"/>
  <c r="R4" i="1" s="1"/>
  <c r="R2" i="1" a="1"/>
  <c r="R2" i="1" s="1"/>
  <c r="S6" i="1" a="1"/>
  <c r="S6" i="1" s="1"/>
  <c r="R5" i="1" a="1"/>
  <c r="R5" i="1" s="1"/>
  <c r="X3" i="1" a="1"/>
  <c r="X3" i="1" s="1"/>
  <c r="X2" i="1" a="1"/>
  <c r="X2" i="1" s="1"/>
  <c r="R6" i="1" a="1"/>
  <c r="R6" i="1" s="1"/>
  <c r="X4" i="1" a="1"/>
  <c r="X4" i="1" s="1"/>
  <c r="W3" i="1" a="1"/>
  <c r="W3" i="1" s="1"/>
  <c r="W2" i="1" a="1"/>
  <c r="W2" i="1" s="1"/>
  <c r="V2" i="1" a="1"/>
  <c r="V2" i="1" s="1"/>
  <c r="V4" i="1" a="1"/>
  <c r="V4" i="1" s="1"/>
  <c r="U3" i="1" a="1"/>
  <c r="U3" i="1" s="1"/>
  <c r="U2" i="1" a="1"/>
  <c r="U2" i="1" s="1"/>
  <c r="W4" i="1" a="1"/>
  <c r="W4" i="1" s="1"/>
  <c r="W5" i="1" a="1"/>
  <c r="W5" i="1" s="1"/>
  <c r="W6" i="1" a="1"/>
  <c r="W6" i="1" s="1"/>
  <c r="V5" i="1" a="1"/>
  <c r="V5" i="1" s="1"/>
  <c r="U4" i="1" a="1"/>
  <c r="U4" i="1" s="1"/>
  <c r="T3" i="1" a="1"/>
  <c r="T3" i="1" s="1"/>
  <c r="X6" i="1" a="1"/>
  <c r="X6" i="1" s="1"/>
  <c r="V6" i="1" a="1"/>
  <c r="V6" i="1" s="1"/>
  <c r="U5" i="1" a="1"/>
  <c r="U5" i="1" s="1"/>
  <c r="T4" i="1" a="1"/>
  <c r="T4" i="1" s="1"/>
  <c r="S3" i="1" a="1"/>
  <c r="S3" i="1" s="1"/>
  <c r="T2" i="1" a="1"/>
  <c r="T2" i="1" s="1"/>
  <c r="V3" i="1" a="1"/>
  <c r="V3" i="1" s="1"/>
  <c r="T5" i="1" a="1"/>
  <c r="T5" i="1" s="1"/>
  <c r="S4" i="1" a="1"/>
  <c r="S4" i="1" s="1"/>
  <c r="R3" i="1" a="1"/>
  <c r="R3" i="1" s="1"/>
  <c r="Z6" i="1" l="1"/>
  <c r="Z3" i="1"/>
  <c r="Z5" i="1"/>
  <c r="Z2" i="1"/>
  <c r="Z4" i="1"/>
  <c r="Z8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2" i="1"/>
  <c r="AI4" i="1" l="1" a="1"/>
  <c r="AI4" i="1" s="1"/>
  <c r="AK10" i="1" a="1"/>
  <c r="AK10" i="1" s="1"/>
  <c r="AJ10" i="1" a="1"/>
  <c r="AJ10" i="1" s="1"/>
  <c r="AM8" i="1" a="1"/>
  <c r="AM8" i="1" s="1"/>
  <c r="AN5" i="1" a="1"/>
  <c r="AN5" i="1" s="1"/>
  <c r="AM11" i="1" a="1"/>
  <c r="AM11" i="1" s="1"/>
  <c r="AL11" i="1" a="1"/>
  <c r="AL11" i="1" s="1"/>
  <c r="AM12" i="1" a="1"/>
  <c r="AM12" i="1" s="1"/>
  <c r="AN13" i="1" a="1"/>
  <c r="AN13" i="1" s="1"/>
  <c r="AN9" i="1" a="1"/>
  <c r="AN9" i="1" s="1"/>
  <c r="AM2" i="1" a="1"/>
  <c r="AM2" i="1" s="1"/>
  <c r="AJ17" i="1" a="1"/>
  <c r="AJ17" i="1" s="1"/>
  <c r="AN15" i="1" a="1"/>
  <c r="AN15" i="1" s="1"/>
  <c r="AL14" i="1" a="1"/>
  <c r="AL14" i="1" s="1"/>
  <c r="AJ13" i="1" a="1"/>
  <c r="AJ13" i="1" s="1"/>
  <c r="AN11" i="1" a="1"/>
  <c r="AN11" i="1" s="1"/>
  <c r="AL10" i="1" a="1"/>
  <c r="AL10" i="1" s="1"/>
  <c r="AJ9" i="1" a="1"/>
  <c r="AJ9" i="1" s="1"/>
  <c r="AN7" i="1" a="1"/>
  <c r="AN7" i="1" s="1"/>
  <c r="AL6" i="1" a="1"/>
  <c r="AL6" i="1" s="1"/>
  <c r="AJ5" i="1" a="1"/>
  <c r="AJ5" i="1" s="1"/>
  <c r="AN3" i="1" a="1"/>
  <c r="AN3" i="1" s="1"/>
  <c r="AL2" i="1" a="1"/>
  <c r="AL2" i="1" s="1"/>
  <c r="AI9" i="1" a="1"/>
  <c r="AI9" i="1" s="1"/>
  <c r="AM7" i="1" a="1"/>
  <c r="AM7" i="1" s="1"/>
  <c r="AK6" i="1" a="1"/>
  <c r="AK6" i="1" s="1"/>
  <c r="AI5" i="1" a="1"/>
  <c r="AI5" i="1" s="1"/>
  <c r="AM3" i="1" a="1"/>
  <c r="AM3" i="1" s="1"/>
  <c r="AN12" i="1" a="1"/>
  <c r="AN12" i="1" s="1"/>
  <c r="AN8" i="1" a="1"/>
  <c r="AN8" i="1" s="1"/>
  <c r="AL7" i="1" a="1"/>
  <c r="AL7" i="1" s="1"/>
  <c r="AJ6" i="1" a="1"/>
  <c r="AJ6" i="1" s="1"/>
  <c r="AN4" i="1" a="1"/>
  <c r="AN4" i="1" s="1"/>
  <c r="AL3" i="1" a="1"/>
  <c r="AL3" i="1" s="1"/>
  <c r="AI17" i="1" a="1"/>
  <c r="AI17" i="1" s="1"/>
  <c r="AJ14" i="1" a="1"/>
  <c r="AJ14" i="1" s="1"/>
  <c r="AI14" i="1" a="1"/>
  <c r="AI14" i="1" s="1"/>
  <c r="AK7" i="1" a="1"/>
  <c r="AK7" i="1" s="1"/>
  <c r="AI6" i="1" a="1"/>
  <c r="AI6" i="1" s="1"/>
  <c r="AM4" i="1" a="1"/>
  <c r="AM4" i="1" s="1"/>
  <c r="AK3" i="1" a="1"/>
  <c r="AK3" i="1" s="1"/>
  <c r="AI13" i="1" a="1"/>
  <c r="AI13" i="1" s="1"/>
  <c r="AL15" i="1" a="1"/>
  <c r="AL15" i="1" s="1"/>
  <c r="AK15" i="1" a="1"/>
  <c r="AK15" i="1" s="1"/>
  <c r="AN17" i="1" a="1"/>
  <c r="AN17" i="1" s="1"/>
  <c r="AJ11" i="1" a="1"/>
  <c r="AJ11" i="1" s="1"/>
  <c r="AL4" i="1" a="1"/>
  <c r="AL4" i="1" s="1"/>
  <c r="AJ3" i="1" a="1"/>
  <c r="AJ3" i="1" s="1"/>
  <c r="AM15" i="1" a="1"/>
  <c r="AM15" i="1" s="1"/>
  <c r="AK2" i="1" a="1"/>
  <c r="AK2" i="1" s="1"/>
  <c r="AJ2" i="1" a="1"/>
  <c r="AJ2" i="1" s="1"/>
  <c r="AI10" i="1" a="1"/>
  <c r="AI10" i="1" s="1"/>
  <c r="AJ15" i="1" a="1"/>
  <c r="AJ15" i="1" s="1"/>
  <c r="AL8" i="1" a="1"/>
  <c r="AL8" i="1" s="1"/>
  <c r="AM17" i="1" a="1"/>
  <c r="AM17" i="1" s="1"/>
  <c r="AK16" i="1" a="1"/>
  <c r="AK16" i="1" s="1"/>
  <c r="AI15" i="1" a="1"/>
  <c r="AI15" i="1" s="1"/>
  <c r="AM13" i="1" a="1"/>
  <c r="AM13" i="1" s="1"/>
  <c r="AK12" i="1" a="1"/>
  <c r="AK12" i="1" s="1"/>
  <c r="AI11" i="1" a="1"/>
  <c r="AI11" i="1" s="1"/>
  <c r="AM9" i="1" a="1"/>
  <c r="AM9" i="1" s="1"/>
  <c r="AK8" i="1" a="1"/>
  <c r="AK8" i="1" s="1"/>
  <c r="AI7" i="1" a="1"/>
  <c r="AI7" i="1" s="1"/>
  <c r="AM5" i="1" a="1"/>
  <c r="AM5" i="1" s="1"/>
  <c r="AK4" i="1" a="1"/>
  <c r="AK4" i="1" s="1"/>
  <c r="AI3" i="1" a="1"/>
  <c r="AI3" i="1" s="1"/>
  <c r="AK14" i="1" a="1"/>
  <c r="AK14" i="1" s="1"/>
  <c r="AN16" i="1" a="1"/>
  <c r="AN16" i="1" s="1"/>
  <c r="AM16" i="1" a="1"/>
  <c r="AM16" i="1" s="1"/>
  <c r="AK11" i="1" a="1"/>
  <c r="AK11" i="1" s="1"/>
  <c r="AL16" i="1" a="1"/>
  <c r="AL16" i="1" s="1"/>
  <c r="AJ7" i="1" a="1"/>
  <c r="AJ7" i="1" s="1"/>
  <c r="AL17" i="1" a="1"/>
  <c r="AL17" i="1" s="1"/>
  <c r="AJ16" i="1" a="1"/>
  <c r="AJ16" i="1" s="1"/>
  <c r="AN14" i="1" a="1"/>
  <c r="AN14" i="1" s="1"/>
  <c r="AL13" i="1" a="1"/>
  <c r="AL13" i="1" s="1"/>
  <c r="AJ12" i="1" a="1"/>
  <c r="AJ12" i="1" s="1"/>
  <c r="AN10" i="1" a="1"/>
  <c r="AN10" i="1" s="1"/>
  <c r="AL9" i="1" a="1"/>
  <c r="AL9" i="1" s="1"/>
  <c r="AJ8" i="1" a="1"/>
  <c r="AJ8" i="1" s="1"/>
  <c r="AN6" i="1" a="1"/>
  <c r="AN6" i="1" s="1"/>
  <c r="AL5" i="1" a="1"/>
  <c r="AL5" i="1" s="1"/>
  <c r="AJ4" i="1" a="1"/>
  <c r="AJ4" i="1" s="1"/>
  <c r="AI2" i="1" a="1"/>
  <c r="AI2" i="1" s="1"/>
  <c r="AL12" i="1" a="1"/>
  <c r="AL12" i="1" s="1"/>
  <c r="AN2" i="1" a="1"/>
  <c r="AN2" i="1" s="1"/>
  <c r="AK17" i="1" a="1"/>
  <c r="AK17" i="1" s="1"/>
  <c r="AI16" i="1" a="1"/>
  <c r="AI16" i="1" s="1"/>
  <c r="AM14" i="1" a="1"/>
  <c r="AM14" i="1" s="1"/>
  <c r="AK13" i="1" a="1"/>
  <c r="AK13" i="1" s="1"/>
  <c r="AI12" i="1" a="1"/>
  <c r="AI12" i="1" s="1"/>
  <c r="AM10" i="1" a="1"/>
  <c r="AM10" i="1" s="1"/>
  <c r="AK9" i="1" a="1"/>
  <c r="AK9" i="1" s="1"/>
  <c r="AI8" i="1" a="1"/>
  <c r="AI8" i="1" s="1"/>
  <c r="AM6" i="1" a="1"/>
  <c r="AM6" i="1" s="1"/>
  <c r="AK5" i="1" a="1"/>
  <c r="AK5" i="1" s="1"/>
  <c r="AP9" i="1" l="1"/>
  <c r="AP7" i="1"/>
  <c r="AP6" i="1"/>
  <c r="AP14" i="1"/>
  <c r="AP2" i="1"/>
  <c r="AP11" i="1"/>
  <c r="AP10" i="1"/>
  <c r="AP12" i="1"/>
  <c r="AP17" i="1"/>
  <c r="AP5" i="1"/>
  <c r="AP16" i="1"/>
  <c r="AP8" i="1"/>
  <c r="AP3" i="1"/>
  <c r="AP13" i="1"/>
  <c r="AP15" i="1"/>
  <c r="AP4" i="1"/>
  <c r="AP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<sst xmlns="http://schemas.openxmlformats.org/spreadsheetml/2006/main" count="289" uniqueCount="113">
  <si>
    <t>Round</t>
  </si>
  <si>
    <t>Conference</t>
  </si>
  <si>
    <t>Game</t>
  </si>
  <si>
    <t>Team1</t>
  </si>
  <si>
    <t>Team2</t>
  </si>
  <si>
    <t>Score1</t>
  </si>
  <si>
    <t>Score2</t>
  </si>
  <si>
    <t>East</t>
  </si>
  <si>
    <t>Duke</t>
  </si>
  <si>
    <t>Siena</t>
  </si>
  <si>
    <t>Ohio State</t>
  </si>
  <si>
    <t>Texas Christian</t>
  </si>
  <si>
    <t>St. John's (NY)</t>
  </si>
  <si>
    <t>Northern Iowa</t>
  </si>
  <si>
    <t>Kansas</t>
  </si>
  <si>
    <t>California Baptist</t>
  </si>
  <si>
    <t>Louisville</t>
  </si>
  <si>
    <t>South Florida</t>
  </si>
  <si>
    <t>Michigan State</t>
  </si>
  <si>
    <t>North Dakota State</t>
  </si>
  <si>
    <t>UCLA</t>
  </si>
  <si>
    <t>UCF</t>
  </si>
  <si>
    <t>Connecticut</t>
  </si>
  <si>
    <t>Furman</t>
  </si>
  <si>
    <t>South</t>
  </si>
  <si>
    <t>Florida</t>
  </si>
  <si>
    <t>Prairie View A&amp;M</t>
  </si>
  <si>
    <t>Clemson</t>
  </si>
  <si>
    <t>Iowa</t>
  </si>
  <si>
    <t>Vanderbilt</t>
  </si>
  <si>
    <t>McNeese</t>
  </si>
  <si>
    <t>Nebraska</t>
  </si>
  <si>
    <t>Troy</t>
  </si>
  <si>
    <t>North Carolina</t>
  </si>
  <si>
    <t>Virginia Commonwealth</t>
  </si>
  <si>
    <t>Illinois</t>
  </si>
  <si>
    <t>Pennsylvania</t>
  </si>
  <si>
    <t>Saint Mary's</t>
  </si>
  <si>
    <t>Texas A&amp;M</t>
  </si>
  <si>
    <t>Houston</t>
  </si>
  <si>
    <t>Idaho</t>
  </si>
  <si>
    <t>West</t>
  </si>
  <si>
    <t>Arizona</t>
  </si>
  <si>
    <t>Long Island University</t>
  </si>
  <si>
    <t>Villanova</t>
  </si>
  <si>
    <t>Utah State</t>
  </si>
  <si>
    <t>Wisconsin</t>
  </si>
  <si>
    <t>High Point</t>
  </si>
  <si>
    <t>Arkansas</t>
  </si>
  <si>
    <t>Hawaii</t>
  </si>
  <si>
    <t>Brigham Young</t>
  </si>
  <si>
    <t>Texas</t>
  </si>
  <si>
    <t>Gonzaga</t>
  </si>
  <si>
    <t>Kennesaw State</t>
  </si>
  <si>
    <t>Miami (FL)</t>
  </si>
  <si>
    <t>Missouri</t>
  </si>
  <si>
    <t>Purdue</t>
  </si>
  <si>
    <t>Queens (NC)</t>
  </si>
  <si>
    <t>Midwest</t>
  </si>
  <si>
    <t>Michigan</t>
  </si>
  <si>
    <t>Howard</t>
  </si>
  <si>
    <t>Georgia</t>
  </si>
  <si>
    <t>Saint Louis</t>
  </si>
  <si>
    <t>Texas Tech</t>
  </si>
  <si>
    <t>Akron</t>
  </si>
  <si>
    <t>Alabama</t>
  </si>
  <si>
    <t>Hofstra</t>
  </si>
  <si>
    <t>Tennessee</t>
  </si>
  <si>
    <t>Miami (OH)</t>
  </si>
  <si>
    <t>Virginia</t>
  </si>
  <si>
    <t>Wright State</t>
  </si>
  <si>
    <t>Kentucky</t>
  </si>
  <si>
    <t>Santa Clara</t>
  </si>
  <si>
    <t>Iowa State</t>
  </si>
  <si>
    <t>Tennessee State</t>
  </si>
  <si>
    <t>Final Four</t>
  </si>
  <si>
    <t>Championship</t>
  </si>
  <si>
    <t>Champion</t>
  </si>
  <si>
    <t>Name</t>
  </si>
  <si>
    <t>Timboo Col 1</t>
  </si>
  <si>
    <t>Timboo Col 4</t>
  </si>
  <si>
    <t>Timboo Col 8</t>
  </si>
  <si>
    <t>Matt T</t>
  </si>
  <si>
    <t>Beth T</t>
  </si>
  <si>
    <t>Winner Score</t>
  </si>
  <si>
    <t>Loser Score</t>
  </si>
  <si>
    <t>Winner</t>
  </si>
  <si>
    <t>Loser</t>
  </si>
  <si>
    <t>Rd</t>
  </si>
  <si>
    <t>1-4 Seeds</t>
  </si>
  <si>
    <t>5-8 Seeds</t>
  </si>
  <si>
    <t>9-12 Seeds</t>
  </si>
  <si>
    <t>12-16 Seeds</t>
  </si>
  <si>
    <t>Payout</t>
  </si>
  <si>
    <t>Tony</t>
  </si>
  <si>
    <t>Kris</t>
  </si>
  <si>
    <t>Bill</t>
  </si>
  <si>
    <t>Danny</t>
  </si>
  <si>
    <t>Alex S</t>
  </si>
  <si>
    <t>Beth</t>
  </si>
  <si>
    <t>Matt</t>
  </si>
  <si>
    <t>Tommy</t>
  </si>
  <si>
    <t>Eddie</t>
  </si>
  <si>
    <t>Scott</t>
  </si>
  <si>
    <t>Collin</t>
  </si>
  <si>
    <t>Graham</t>
  </si>
  <si>
    <t>Claire</t>
  </si>
  <si>
    <t>John</t>
  </si>
  <si>
    <t>Janet</t>
  </si>
  <si>
    <t>Roger</t>
  </si>
  <si>
    <t>Winner Team</t>
  </si>
  <si>
    <t>Buy 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</si>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</sst>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2A31-750D-D94B-A5B2-04C1BF0B52FA}">
  <dimension ref="A1:AP65"/>
  <sheetViews>
    <sheetView tabSelected="1" workbookViewId="0">
      <selection activeCell="I12" sqref="I12"/>
    </sheetView>
  </sheetViews>
  <sheetFormatPr baseColWidth="10" defaultRowHeight="16" x14ac:dyDescent="0.2"/>
  <cols>
    <col min="1" max="1" width="6.33203125" bestFit="1" customWidth="1"/>
    <col min="2" max="2" width="12.6640625" bestFit="1" customWidth="1"/>
    <col min="3" max="3" width="6.1640625" bestFit="1" customWidth="1"/>
    <col min="4" max="4" width="13.6640625" bestFit="1" customWidth="1"/>
    <col min="5" max="5" width="21.1640625" bestFit="1" customWidth="1"/>
    <col min="6" max="7" width="6.6640625" bestFit="1" customWidth="1"/>
    <col min="8" max="8" width="3.33203125" customWidth="1"/>
    <col min="9" max="9" width="21.1640625" bestFit="1" customWidth="1"/>
    <col min="10" max="10" width="12.1640625" bestFit="1" customWidth="1"/>
    <col min="11" max="11" width="10.5" bestFit="1" customWidth="1"/>
    <col min="12" max="12" width="3.33203125" customWidth="1"/>
    <col min="13" max="13" width="11.83203125" bestFit="1" customWidth="1"/>
    <col min="14" max="14" width="7.1640625" bestFit="1" customWidth="1"/>
    <col min="15" max="15" width="5.5" bestFit="1" customWidth="1"/>
    <col min="16" max="16" width="3.33203125" customWidth="1"/>
    <col min="17" max="17" width="6.6640625" bestFit="1" customWidth="1"/>
    <col min="18" max="18" width="6.1640625" bestFit="1" customWidth="1"/>
    <col min="19" max="20" width="5.6640625" bestFit="1" customWidth="1"/>
    <col min="21" max="22" width="4.1640625" bestFit="1" customWidth="1"/>
    <col min="23" max="23" width="5.1640625" bestFit="1" customWidth="1"/>
    <col min="24" max="24" width="2.1640625" bestFit="1" customWidth="1"/>
    <col min="25" max="25" width="3.33203125" customWidth="1"/>
    <col min="26" max="26" width="8.33203125" bestFit="1" customWidth="1"/>
    <col min="27" max="27" width="3.33203125" customWidth="1"/>
    <col min="28" max="28" width="7.83203125" bestFit="1" customWidth="1"/>
    <col min="29" max="29" width="13.5" bestFit="1" customWidth="1"/>
    <col min="30" max="30" width="13.6640625" bestFit="1" customWidth="1"/>
    <col min="31" max="31" width="21.1640625" bestFit="1" customWidth="1"/>
    <col min="32" max="32" width="19.1640625" bestFit="1" customWidth="1"/>
    <col min="33" max="33" width="3.33203125" customWidth="1"/>
    <col min="34" max="34" width="6.6640625" bestFit="1" customWidth="1"/>
    <col min="35" max="40" width="3.1640625" bestFit="1" customWidth="1"/>
    <col min="41" max="41" width="3.33203125" customWidth="1"/>
    <col min="42" max="42" width="8.33203125" bestFit="1" customWidth="1"/>
    <col min="43" max="43" width="3.33203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110</v>
      </c>
      <c r="J1" t="s">
        <v>84</v>
      </c>
      <c r="K1" t="s">
        <v>85</v>
      </c>
      <c r="M1" t="s">
        <v>78</v>
      </c>
      <c r="N1" t="s">
        <v>86</v>
      </c>
      <c r="O1" t="s">
        <v>87</v>
      </c>
      <c r="Q1" t="s">
        <v>88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Z1" t="s">
        <v>93</v>
      </c>
      <c r="AB1" t="s">
        <v>78</v>
      </c>
      <c r="AC1" t="s">
        <v>89</v>
      </c>
      <c r="AD1" t="s">
        <v>90</v>
      </c>
      <c r="AE1" t="s">
        <v>91</v>
      </c>
      <c r="AF1" t="s">
        <v>92</v>
      </c>
      <c r="AH1" t="s">
        <v>88</v>
      </c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P1" t="s">
        <v>93</v>
      </c>
    </row>
    <row r="2" spans="1:42" x14ac:dyDescent="0.2">
      <c r="A2">
        <v>1</v>
      </c>
      <c r="B2" t="s">
        <v>7</v>
      </c>
      <c r="C2">
        <v>1</v>
      </c>
      <c r="D2" t="s">
        <v>8</v>
      </c>
      <c r="E2" t="s">
        <v>9</v>
      </c>
      <c r="F2">
        <v>71</v>
      </c>
      <c r="G2">
        <v>65</v>
      </c>
      <c r="I2" t="str">
        <f>IF(F2&lt;&gt;"",INDEX(D2:E2, MATCH(MAX(F2:G2),F2:G2,0)), "")</f>
        <v>Duke</v>
      </c>
      <c r="J2">
        <f>IF(F2&lt;&gt;"",INT(RIGHT(MAX(F2:G2),1)),"")</f>
        <v>1</v>
      </c>
      <c r="K2">
        <f>IF(F2&lt;&gt;"",INT(RIGHT(MIN(F2:G2),1)),"")</f>
        <v>5</v>
      </c>
      <c r="M2" t="s">
        <v>79</v>
      </c>
      <c r="N2">
        <v>9</v>
      </c>
      <c r="O2">
        <v>7</v>
      </c>
      <c r="R2" cm="1">
        <f t="array" ref="R2">SUMPRODUCT(--($A$2:$A$65=R$1),--($J$2:$J$65=$N2),--($K$2:$K$65=$O2))</f>
        <v>0</v>
      </c>
      <c r="S2" cm="1">
        <f t="array" ref="S2">SUMPRODUCT(--($A$2:$A$65=S$1),--($J$2:$J$65=$N2),--($K$2:$K$65=$O2))</f>
        <v>0</v>
      </c>
      <c r="T2" cm="1">
        <f t="array" ref="T2">SUMPRODUCT(--($A$2:$A$65=T$1),--($J$2:$J$65=$N2),--($K$2:$K$65=$O2))</f>
        <v>1</v>
      </c>
      <c r="U2" cm="1">
        <f t="array" ref="U2">SUMPRODUCT(--($A$2:$A$65=U$1),--($J$2:$J$65=$N2),--($K$2:$K$65=$O2))</f>
        <v>0</v>
      </c>
      <c r="V2" cm="1">
        <f t="array" ref="V2">SUMPRODUCT(--($A$2:$A$65=V$1),--($J$2:$J$65=$N2),--($K$2:$K$65=$O2))</f>
        <v>0</v>
      </c>
      <c r="W2" cm="1">
        <f t="array" ref="W2">SUMPRODUCT(--($A$2:$A$65=W$1),--($J$2:$J$65=$N2),--($K$2:$K$65=$O2))</f>
        <v>0</v>
      </c>
      <c r="X2" cm="1">
        <f t="array" ref="X2">SUMPRODUCT(--($A$2:$A$65=X$1),--($J$2:$J$65=$N2),--($K$2:$K$65=$O2))</f>
        <v>0</v>
      </c>
      <c r="Z2">
        <f>SUMPRODUCT($R2:$W2, $R$8:$W$8)</f>
        <v>200</v>
      </c>
      <c r="AB2" t="s">
        <v>94</v>
      </c>
      <c r="AC2" t="s">
        <v>56</v>
      </c>
      <c r="AD2" t="s">
        <v>67</v>
      </c>
      <c r="AE2" t="s">
        <v>38</v>
      </c>
      <c r="AF2" t="s">
        <v>40</v>
      </c>
      <c r="AI2" cm="1">
        <f t="array" ref="AI2">SUMPRODUCT(--($I$2:$I$64=$AC2),--($A$2:$A$64=AI$1))+SUMPRODUCT(--($I$2:$I$64=$AD2),--($A$2:$A$64=AI$1))+SUMPRODUCT(--($I$2:$I$64=$AE2),--($A$2:$A$64=AI$1))+SUMPRODUCT(--($I$2:$I$64=$AF2),--($A$2:$A$64=AI$1))</f>
        <v>3</v>
      </c>
      <c r="AJ2" cm="1">
        <f t="array" ref="AJ2">SUMPRODUCT(--($I$2:$I$64=$AC2),--($A$2:$A$64=AJ$1))+SUMPRODUCT(--($I$2:$I$64=$AD2),--($A$2:$A$64=AJ$1))+SUMPRODUCT(--($I$2:$I$64=$AE2),--($A$2:$A$64=AJ$1))+SUMPRODUCT(--($I$2:$I$64=$AF2),--($A$2:$A$64=AJ$1))</f>
        <v>2</v>
      </c>
      <c r="AK2" cm="1">
        <f t="array" ref="AK2">SUMPRODUCT(--($I$2:$I$64=$AC2),--($A$2:$A$64=AK$1))+SUMPRODUCT(--($I$2:$I$64=$AD2),--($A$2:$A$64=AK$1))+SUMPRODUCT(--($I$2:$I$64=$AE2),--($A$2:$A$64=AK$1))+SUMPRODUCT(--($I$2:$I$64=$AF2),--($A$2:$A$64=AK$1))</f>
        <v>2</v>
      </c>
      <c r="AL2" cm="1">
        <f t="array" ref="AL2">SUMPRODUCT(--($I$2:$I$64=$AC2),--($A$2:$A$64=AL$1))+SUMPRODUCT(--($I$2:$I$64=$AD2),--($A$2:$A$64=AL$1))+SUMPRODUCT(--($I$2:$I$64=$AE2),--($A$2:$A$64=AL$1))+SUMPRODUCT(--($I$2:$I$64=$AF2),--($A$2:$A$64=AL$1))</f>
        <v>0</v>
      </c>
      <c r="AM2" cm="1">
        <f t="array" ref="AM2">SUMPRODUCT(--($I$2:$I$64=$AC2),--($A$2:$A$64=AM$1))+SUMPRODUCT(--($I$2:$I$64=$AD2),--($A$2:$A$64=AM$1))+SUMPRODUCT(--($I$2:$I$64=$AE2),--($A$2:$A$64=AM$1))+SUMPRODUCT(--($I$2:$I$64=$AF2),--($A$2:$A$64=AM$1))</f>
        <v>0</v>
      </c>
      <c r="AN2" cm="1">
        <f t="array" ref="AN2">SUMPRODUCT(--($I$2:$I$64=$AC2),--($A$2:$A$64=AN$1))+SUMPRODUCT(--($I$2:$I$64=$AD2),--($A$2:$A$64=AN$1))+SUMPRODUCT(--($I$2:$I$64=$AE2),--($A$2:$A$64=AN$1))+SUMPRODUCT(--($I$2:$I$64=$AF2),--($A$2:$A$64=AN$1))</f>
        <v>0</v>
      </c>
      <c r="AP2">
        <f>SUMPRODUCT($AI2:$AN2,$AI$19:$AN$19)</f>
        <v>39</v>
      </c>
    </row>
    <row r="3" spans="1:42" x14ac:dyDescent="0.2">
      <c r="A3">
        <v>1</v>
      </c>
      <c r="B3" t="s">
        <v>7</v>
      </c>
      <c r="C3">
        <v>2</v>
      </c>
      <c r="D3" t="s">
        <v>10</v>
      </c>
      <c r="E3" t="s">
        <v>11</v>
      </c>
      <c r="F3">
        <v>64</v>
      </c>
      <c r="G3">
        <v>66</v>
      </c>
      <c r="I3" t="str">
        <f t="shared" ref="I3:I65" si="0">IF(F3&lt;&gt;"",INDEX(D3:E3, MATCH(MAX(F3:G3),F3:G3,0)), "")</f>
        <v>Texas Christian</v>
      </c>
      <c r="J3">
        <f t="shared" ref="J3:J65" si="1">IF(F3&lt;&gt;"",INT(RIGHT(MAX(F3:G3),1)),"")</f>
        <v>6</v>
      </c>
      <c r="K3">
        <f t="shared" ref="K3:K65" si="2">IF(F3&lt;&gt;"",INT(RIGHT(MIN(F3:G3),1)),"")</f>
        <v>4</v>
      </c>
      <c r="M3" t="s">
        <v>80</v>
      </c>
      <c r="N3">
        <v>0</v>
      </c>
      <c r="O3">
        <v>2</v>
      </c>
      <c r="R3" cm="1">
        <f t="array" ref="R3">SUMPRODUCT(--($A$2:$A$65=R$1),--($J$2:$J$65=$N3),--($K$2:$K$65=$O3))</f>
        <v>0</v>
      </c>
      <c r="S3" cm="1">
        <f t="array" ref="S3">SUMPRODUCT(--($A$2:$A$65=S$1),--($J$2:$J$65=$N3),--($K$2:$K$65=$O3))</f>
        <v>0</v>
      </c>
      <c r="T3" cm="1">
        <f t="array" ref="T3">SUMPRODUCT(--($A$2:$A$65=T$1),--($J$2:$J$65=$N3),--($K$2:$K$65=$O3))</f>
        <v>0</v>
      </c>
      <c r="U3" cm="1">
        <f t="array" ref="U3">SUMPRODUCT(--($A$2:$A$65=U$1),--($J$2:$J$65=$N3),--($K$2:$K$65=$O3))</f>
        <v>0</v>
      </c>
      <c r="V3" cm="1">
        <f t="array" ref="V3">SUMPRODUCT(--($A$2:$A$65=V$1),--($J$2:$J$65=$N3),--($K$2:$K$65=$O3))</f>
        <v>0</v>
      </c>
      <c r="W3" cm="1">
        <f t="array" ref="W3">SUMPRODUCT(--($A$2:$A$65=W$1),--($J$2:$J$65=$N3),--($K$2:$K$65=$O3))</f>
        <v>0</v>
      </c>
      <c r="X3" cm="1">
        <f t="array" ref="X3">SUMPRODUCT(--($A$2:$A$65=X$1),--($J$2:$J$65=$N3),--($K$2:$K$65=$O3))</f>
        <v>0</v>
      </c>
      <c r="Z3">
        <f t="shared" ref="Z3:Z6" si="3">SUMPRODUCT($R3:$W3, $R$8:$W$8)</f>
        <v>0</v>
      </c>
      <c r="AB3" t="s">
        <v>95</v>
      </c>
      <c r="AC3" t="s">
        <v>14</v>
      </c>
      <c r="AD3" t="s">
        <v>46</v>
      </c>
      <c r="AE3" t="s">
        <v>64</v>
      </c>
      <c r="AF3" t="s">
        <v>36</v>
      </c>
      <c r="AI3" cm="1">
        <f t="array" ref="AI3">SUMPRODUCT(--($I$2:$I$64=$AC3),--($A$2:$A$64=AI$1))+SUMPRODUCT(--($I$2:$I$64=$AD3),--($A$2:$A$64=AI$1))+SUMPRODUCT(--($I$2:$I$64=$AE3),--($A$2:$A$64=AI$1))+SUMPRODUCT(--($I$2:$I$64=$AF3),--($A$2:$A$64=AI$1))</f>
        <v>1</v>
      </c>
      <c r="AJ3" cm="1">
        <f t="array" ref="AJ3">SUMPRODUCT(--($I$2:$I$64=$AC3),--($A$2:$A$64=AJ$1))+SUMPRODUCT(--($I$2:$I$64=$AD3),--($A$2:$A$64=AJ$1))+SUMPRODUCT(--($I$2:$I$64=$AE3),--($A$2:$A$64=AJ$1))+SUMPRODUCT(--($I$2:$I$64=$AF3),--($A$2:$A$64=AJ$1))</f>
        <v>0</v>
      </c>
      <c r="AK3" cm="1">
        <f t="array" ref="AK3">SUMPRODUCT(--($I$2:$I$64=$AC3),--($A$2:$A$64=AK$1))+SUMPRODUCT(--($I$2:$I$64=$AD3),--($A$2:$A$64=AK$1))+SUMPRODUCT(--($I$2:$I$64=$AE3),--($A$2:$A$64=AK$1))+SUMPRODUCT(--($I$2:$I$64=$AF3),--($A$2:$A$64=AK$1))</f>
        <v>0</v>
      </c>
      <c r="AL3" cm="1">
        <f t="array" ref="AL3">SUMPRODUCT(--($I$2:$I$64=$AC3),--($A$2:$A$64=AL$1))+SUMPRODUCT(--($I$2:$I$64=$AD3),--($A$2:$A$64=AL$1))+SUMPRODUCT(--($I$2:$I$64=$AE3),--($A$2:$A$64=AL$1))+SUMPRODUCT(--($I$2:$I$64=$AF3),--($A$2:$A$64=AL$1))</f>
        <v>0</v>
      </c>
      <c r="AM3" cm="1">
        <f t="array" ref="AM3">SUMPRODUCT(--($I$2:$I$64=$AC3),--($A$2:$A$64=AM$1))+SUMPRODUCT(--($I$2:$I$64=$AD3),--($A$2:$A$64=AM$1))+SUMPRODUCT(--($I$2:$I$64=$AE3),--($A$2:$A$64=AM$1))+SUMPRODUCT(--($I$2:$I$64=$AF3),--($A$2:$A$64=AM$1))</f>
        <v>0</v>
      </c>
      <c r="AN3" cm="1">
        <f t="array" ref="AN3">SUMPRODUCT(--($I$2:$I$64=$AC3),--($A$2:$A$64=AN$1))+SUMPRODUCT(--($I$2:$I$64=$AD3),--($A$2:$A$64=AN$1))+SUMPRODUCT(--($I$2:$I$64=$AE3),--($A$2:$A$64=AN$1))+SUMPRODUCT(--($I$2:$I$64=$AF3),--($A$2:$A$64=AN$1))</f>
        <v>0</v>
      </c>
      <c r="AP3">
        <f t="shared" ref="AP3:AP17" si="4">SUMPRODUCT($AI3:$AN3,$AI$19:$AN$19)</f>
        <v>3</v>
      </c>
    </row>
    <row r="4" spans="1:42" x14ac:dyDescent="0.2">
      <c r="A4">
        <v>1</v>
      </c>
      <c r="B4" t="s">
        <v>7</v>
      </c>
      <c r="C4">
        <v>3</v>
      </c>
      <c r="D4" t="s">
        <v>12</v>
      </c>
      <c r="E4" t="s">
        <v>13</v>
      </c>
      <c r="F4">
        <v>79</v>
      </c>
      <c r="G4">
        <v>53</v>
      </c>
      <c r="I4" t="str">
        <f t="shared" si="0"/>
        <v>St. John's (NY)</v>
      </c>
      <c r="J4">
        <f t="shared" si="1"/>
        <v>9</v>
      </c>
      <c r="K4">
        <f t="shared" si="2"/>
        <v>3</v>
      </c>
      <c r="M4" t="s">
        <v>81</v>
      </c>
      <c r="N4">
        <v>3</v>
      </c>
      <c r="O4">
        <v>6</v>
      </c>
      <c r="R4" cm="1">
        <f t="array" ref="R4">SUMPRODUCT(--($A$2:$A$65=R$1),--($J$2:$J$65=$N4),--($K$2:$K$65=$O4))</f>
        <v>0</v>
      </c>
      <c r="S4" cm="1">
        <f t="array" ref="S4">SUMPRODUCT(--($A$2:$A$65=S$1),--($J$2:$J$65=$N4),--($K$2:$K$65=$O4))</f>
        <v>0</v>
      </c>
      <c r="T4" cm="1">
        <f t="array" ref="T4">SUMPRODUCT(--($A$2:$A$65=T$1),--($J$2:$J$65=$N4),--($K$2:$K$65=$O4))</f>
        <v>0</v>
      </c>
      <c r="U4" cm="1">
        <f t="array" ref="U4">SUMPRODUCT(--($A$2:$A$65=U$1),--($J$2:$J$65=$N4),--($K$2:$K$65=$O4))</f>
        <v>0</v>
      </c>
      <c r="V4" cm="1">
        <f t="array" ref="V4">SUMPRODUCT(--($A$2:$A$65=V$1),--($J$2:$J$65=$N4),--($K$2:$K$65=$O4))</f>
        <v>0</v>
      </c>
      <c r="W4" cm="1">
        <f t="array" ref="W4">SUMPRODUCT(--($A$2:$A$65=W$1),--($J$2:$J$65=$N4),--($K$2:$K$65=$O4))</f>
        <v>0</v>
      </c>
      <c r="X4" cm="1">
        <f t="array" ref="X4">SUMPRODUCT(--($A$2:$A$65=X$1),--($J$2:$J$65=$N4),--($K$2:$K$65=$O4))</f>
        <v>0</v>
      </c>
      <c r="Z4">
        <f t="shared" si="3"/>
        <v>0</v>
      </c>
      <c r="AB4" t="s">
        <v>96</v>
      </c>
      <c r="AC4" t="s">
        <v>35</v>
      </c>
      <c r="AD4" t="s">
        <v>54</v>
      </c>
      <c r="AE4" t="s">
        <v>21</v>
      </c>
      <c r="AF4" t="s">
        <v>23</v>
      </c>
      <c r="AI4" cm="1">
        <f t="array" ref="AI4">SUMPRODUCT(--($I$2:$I$64=$AC4),--($A$2:$A$64=AI$1))+SUMPRODUCT(--($I$2:$I$64=$AD4),--($A$2:$A$64=AI$1))+SUMPRODUCT(--($I$2:$I$64=$AE4),--($A$2:$A$64=AI$1))+SUMPRODUCT(--($I$2:$I$64=$AF4),--($A$2:$A$64=AI$1))</f>
        <v>2</v>
      </c>
      <c r="AJ4" cm="1">
        <f t="array" ref="AJ4">SUMPRODUCT(--($I$2:$I$64=$AC4),--($A$2:$A$64=AJ$1))+SUMPRODUCT(--($I$2:$I$64=$AD4),--($A$2:$A$64=AJ$1))+SUMPRODUCT(--($I$2:$I$64=$AE4),--($A$2:$A$64=AJ$1))+SUMPRODUCT(--($I$2:$I$64=$AF4),--($A$2:$A$64=AJ$1))</f>
        <v>1</v>
      </c>
      <c r="AK4" cm="1">
        <f t="array" ref="AK4">SUMPRODUCT(--($I$2:$I$64=$AC4),--($A$2:$A$64=AK$1))+SUMPRODUCT(--($I$2:$I$64=$AD4),--($A$2:$A$64=AK$1))+SUMPRODUCT(--($I$2:$I$64=$AE4),--($A$2:$A$64=AK$1))+SUMPRODUCT(--($I$2:$I$64=$AF4),--($A$2:$A$64=AK$1))</f>
        <v>1</v>
      </c>
      <c r="AL4" cm="1">
        <f t="array" ref="AL4">SUMPRODUCT(--($I$2:$I$64=$AC4),--($A$2:$A$64=AL$1))+SUMPRODUCT(--($I$2:$I$64=$AD4),--($A$2:$A$64=AL$1))+SUMPRODUCT(--($I$2:$I$64=$AE4),--($A$2:$A$64=AL$1))+SUMPRODUCT(--($I$2:$I$64=$AF4),--($A$2:$A$64=AL$1))</f>
        <v>0</v>
      </c>
      <c r="AM4" cm="1">
        <f t="array" ref="AM4">SUMPRODUCT(--($I$2:$I$64=$AC4),--($A$2:$A$64=AM$1))+SUMPRODUCT(--($I$2:$I$64=$AD4),--($A$2:$A$64=AM$1))+SUMPRODUCT(--($I$2:$I$64=$AE4),--($A$2:$A$64=AM$1))+SUMPRODUCT(--($I$2:$I$64=$AF4),--($A$2:$A$64=AM$1))</f>
        <v>0</v>
      </c>
      <c r="AN4" cm="1">
        <f t="array" ref="AN4">SUMPRODUCT(--($I$2:$I$64=$AC4),--($A$2:$A$64=AN$1))+SUMPRODUCT(--($I$2:$I$64=$AD4),--($A$2:$A$64=AN$1))+SUMPRODUCT(--($I$2:$I$64=$AE4),--($A$2:$A$64=AN$1))+SUMPRODUCT(--($I$2:$I$64=$AF4),--($A$2:$A$64=AN$1))</f>
        <v>0</v>
      </c>
      <c r="AP4">
        <f t="shared" si="4"/>
        <v>21</v>
      </c>
    </row>
    <row r="5" spans="1:42" x14ac:dyDescent="0.2">
      <c r="A5">
        <v>1</v>
      </c>
      <c r="B5" t="s">
        <v>7</v>
      </c>
      <c r="C5">
        <v>4</v>
      </c>
      <c r="D5" t="s">
        <v>14</v>
      </c>
      <c r="E5" t="s">
        <v>15</v>
      </c>
      <c r="F5">
        <v>68</v>
      </c>
      <c r="G5">
        <v>60</v>
      </c>
      <c r="I5" t="str">
        <f t="shared" si="0"/>
        <v>Kansas</v>
      </c>
      <c r="J5">
        <f t="shared" si="1"/>
        <v>8</v>
      </c>
      <c r="K5">
        <f t="shared" si="2"/>
        <v>0</v>
      </c>
      <c r="M5" t="s">
        <v>82</v>
      </c>
      <c r="N5">
        <v>9</v>
      </c>
      <c r="O5">
        <v>0</v>
      </c>
      <c r="R5" cm="1">
        <f t="array" ref="R5">SUMPRODUCT(--($A$2:$A$65=R$1),--($J$2:$J$65=$N5),--($K$2:$K$65=$O5))</f>
        <v>0</v>
      </c>
      <c r="S5" cm="1">
        <f t="array" ref="S5">SUMPRODUCT(--($A$2:$A$65=S$1),--($J$2:$J$65=$N5),--($K$2:$K$65=$O5))</f>
        <v>0</v>
      </c>
      <c r="T5" cm="1">
        <f t="array" ref="T5">SUMPRODUCT(--($A$2:$A$65=T$1),--($J$2:$J$65=$N5),--($K$2:$K$65=$O5))</f>
        <v>0</v>
      </c>
      <c r="U5" cm="1">
        <f t="array" ref="U5">SUMPRODUCT(--($A$2:$A$65=U$1),--($J$2:$J$65=$N5),--($K$2:$K$65=$O5))</f>
        <v>0</v>
      </c>
      <c r="V5" cm="1">
        <f t="array" ref="V5">SUMPRODUCT(--($A$2:$A$65=V$1),--($J$2:$J$65=$N5),--($K$2:$K$65=$O5))</f>
        <v>0</v>
      </c>
      <c r="W5" cm="1">
        <f t="array" ref="W5">SUMPRODUCT(--($A$2:$A$65=W$1),--($J$2:$J$65=$N5),--($K$2:$K$65=$O5))</f>
        <v>0</v>
      </c>
      <c r="X5" cm="1">
        <f t="array" ref="X5">SUMPRODUCT(--($A$2:$A$65=X$1),--($J$2:$J$65=$N5),--($K$2:$K$65=$O5))</f>
        <v>0</v>
      </c>
      <c r="Z5">
        <f t="shared" si="3"/>
        <v>0</v>
      </c>
      <c r="AB5" t="s">
        <v>98</v>
      </c>
      <c r="AC5" t="s">
        <v>52</v>
      </c>
      <c r="AD5" t="s">
        <v>33</v>
      </c>
      <c r="AE5" t="s">
        <v>72</v>
      </c>
      <c r="AF5" t="s">
        <v>43</v>
      </c>
      <c r="AI5" cm="1">
        <f t="array" ref="AI5">SUMPRODUCT(--($I$2:$I$64=$AC5),--($A$2:$A$64=AI$1))+SUMPRODUCT(--($I$2:$I$64=$AD5),--($A$2:$A$64=AI$1))+SUMPRODUCT(--($I$2:$I$64=$AE5),--($A$2:$A$64=AI$1))+SUMPRODUCT(--($I$2:$I$64=$AF5),--($A$2:$A$64=AI$1))</f>
        <v>1</v>
      </c>
      <c r="AJ5" cm="1">
        <f t="array" ref="AJ5">SUMPRODUCT(--($I$2:$I$64=$AC5),--($A$2:$A$64=AJ$1))+SUMPRODUCT(--($I$2:$I$64=$AD5),--($A$2:$A$64=AJ$1))+SUMPRODUCT(--($I$2:$I$64=$AE5),--($A$2:$A$64=AJ$1))+SUMPRODUCT(--($I$2:$I$64=$AF5),--($A$2:$A$64=AJ$1))</f>
        <v>0</v>
      </c>
      <c r="AK5" cm="1">
        <f t="array" ref="AK5">SUMPRODUCT(--($I$2:$I$64=$AC5),--($A$2:$A$64=AK$1))+SUMPRODUCT(--($I$2:$I$64=$AD5),--($A$2:$A$64=AK$1))+SUMPRODUCT(--($I$2:$I$64=$AE5),--($A$2:$A$64=AK$1))+SUMPRODUCT(--($I$2:$I$64=$AF5),--($A$2:$A$64=AK$1))</f>
        <v>0</v>
      </c>
      <c r="AL5" cm="1">
        <f t="array" ref="AL5">SUMPRODUCT(--($I$2:$I$64=$AC5),--($A$2:$A$64=AL$1))+SUMPRODUCT(--($I$2:$I$64=$AD5),--($A$2:$A$64=AL$1))+SUMPRODUCT(--($I$2:$I$64=$AE5),--($A$2:$A$64=AL$1))+SUMPRODUCT(--($I$2:$I$64=$AF5),--($A$2:$A$64=AL$1))</f>
        <v>0</v>
      </c>
      <c r="AM5" cm="1">
        <f t="array" ref="AM5">SUMPRODUCT(--($I$2:$I$64=$AC5),--($A$2:$A$64=AM$1))+SUMPRODUCT(--($I$2:$I$64=$AD5),--($A$2:$A$64=AM$1))+SUMPRODUCT(--($I$2:$I$64=$AE5),--($A$2:$A$64=AM$1))+SUMPRODUCT(--($I$2:$I$64=$AF5),--($A$2:$A$64=AM$1))</f>
        <v>0</v>
      </c>
      <c r="AN5" cm="1">
        <f t="array" ref="AN5">SUMPRODUCT(--($I$2:$I$64=$AC5),--($A$2:$A$64=AN$1))+SUMPRODUCT(--($I$2:$I$64=$AD5),--($A$2:$A$64=AN$1))+SUMPRODUCT(--($I$2:$I$64=$AE5),--($A$2:$A$64=AN$1))+SUMPRODUCT(--($I$2:$I$64=$AF5),--($A$2:$A$64=AN$1))</f>
        <v>0</v>
      </c>
      <c r="AP5">
        <f t="shared" si="4"/>
        <v>3</v>
      </c>
    </row>
    <row r="6" spans="1:42" x14ac:dyDescent="0.2">
      <c r="A6">
        <v>1</v>
      </c>
      <c r="B6" t="s">
        <v>7</v>
      </c>
      <c r="C6">
        <v>5</v>
      </c>
      <c r="D6" t="s">
        <v>16</v>
      </c>
      <c r="E6" t="s">
        <v>17</v>
      </c>
      <c r="F6">
        <v>83</v>
      </c>
      <c r="G6">
        <v>79</v>
      </c>
      <c r="I6" t="str">
        <f t="shared" si="0"/>
        <v>Louisville</v>
      </c>
      <c r="J6">
        <f t="shared" si="1"/>
        <v>3</v>
      </c>
      <c r="K6">
        <f t="shared" si="2"/>
        <v>9</v>
      </c>
      <c r="M6" t="s">
        <v>83</v>
      </c>
      <c r="N6">
        <v>2</v>
      </c>
      <c r="O6">
        <v>5</v>
      </c>
      <c r="R6" cm="1">
        <f t="array" ref="R6">SUMPRODUCT(--($A$2:$A$65=R$1),--($J$2:$J$65=$N6),--($K$2:$K$65=$O6))</f>
        <v>0</v>
      </c>
      <c r="S6" cm="1">
        <f t="array" ref="S6">SUMPRODUCT(--($A$2:$A$65=S$1),--($J$2:$J$65=$N6),--($K$2:$K$65=$O6))</f>
        <v>0</v>
      </c>
      <c r="T6" cm="1">
        <f t="array" ref="T6">SUMPRODUCT(--($A$2:$A$65=T$1),--($J$2:$J$65=$N6),--($K$2:$K$65=$O6))</f>
        <v>0</v>
      </c>
      <c r="U6" cm="1">
        <f t="array" ref="U6">SUMPRODUCT(--($A$2:$A$65=U$1),--($J$2:$J$65=$N6),--($K$2:$K$65=$O6))</f>
        <v>0</v>
      </c>
      <c r="V6" cm="1">
        <f t="array" ref="V6">SUMPRODUCT(--($A$2:$A$65=V$1),--($J$2:$J$65=$N6),--($K$2:$K$65=$O6))</f>
        <v>0</v>
      </c>
      <c r="W6" cm="1">
        <f t="array" ref="W6">SUMPRODUCT(--($A$2:$A$65=W$1),--($J$2:$J$65=$N6),--($K$2:$K$65=$O6))</f>
        <v>0</v>
      </c>
      <c r="X6" cm="1">
        <f t="array" ref="X6">SUMPRODUCT(--($A$2:$A$65=X$1),--($J$2:$J$65=$N6),--($K$2:$K$65=$O6))</f>
        <v>0</v>
      </c>
      <c r="Z6">
        <f t="shared" si="3"/>
        <v>0</v>
      </c>
      <c r="AB6" t="s">
        <v>97</v>
      </c>
      <c r="AC6" t="s">
        <v>69</v>
      </c>
      <c r="AD6" t="s">
        <v>16</v>
      </c>
      <c r="AE6" t="s">
        <v>11</v>
      </c>
      <c r="AF6" t="s">
        <v>74</v>
      </c>
      <c r="AI6" cm="1">
        <f t="array" ref="AI6">SUMPRODUCT(--($I$2:$I$64=$AC6),--($A$2:$A$64=AI$1))+SUMPRODUCT(--($I$2:$I$64=$AD6),--($A$2:$A$64=AI$1))+SUMPRODUCT(--($I$2:$I$64=$AE6),--($A$2:$A$64=AI$1))+SUMPRODUCT(--($I$2:$I$64=$AF6),--($A$2:$A$64=AI$1))</f>
        <v>3</v>
      </c>
      <c r="AJ6" cm="1">
        <f t="array" ref="AJ6">SUMPRODUCT(--($I$2:$I$64=$AC6),--($A$2:$A$64=AJ$1))+SUMPRODUCT(--($I$2:$I$64=$AD6),--($A$2:$A$64=AJ$1))+SUMPRODUCT(--($I$2:$I$64=$AE6),--($A$2:$A$64=AJ$1))+SUMPRODUCT(--($I$2:$I$64=$AF6),--($A$2:$A$64=AJ$1))</f>
        <v>0</v>
      </c>
      <c r="AK6" cm="1">
        <f t="array" ref="AK6">SUMPRODUCT(--($I$2:$I$64=$AC6),--($A$2:$A$64=AK$1))+SUMPRODUCT(--($I$2:$I$64=$AD6),--($A$2:$A$64=AK$1))+SUMPRODUCT(--($I$2:$I$64=$AE6),--($A$2:$A$64=AK$1))+SUMPRODUCT(--($I$2:$I$64=$AF6),--($A$2:$A$64=AK$1))</f>
        <v>0</v>
      </c>
      <c r="AL6" cm="1">
        <f t="array" ref="AL6">SUMPRODUCT(--($I$2:$I$64=$AC6),--($A$2:$A$64=AL$1))+SUMPRODUCT(--($I$2:$I$64=$AD6),--($A$2:$A$64=AL$1))+SUMPRODUCT(--($I$2:$I$64=$AE6),--($A$2:$A$64=AL$1))+SUMPRODUCT(--($I$2:$I$64=$AF6),--($A$2:$A$64=AL$1))</f>
        <v>0</v>
      </c>
      <c r="AM6" cm="1">
        <f t="array" ref="AM6">SUMPRODUCT(--($I$2:$I$64=$AC6),--($A$2:$A$64=AM$1))+SUMPRODUCT(--($I$2:$I$64=$AD6),--($A$2:$A$64=AM$1))+SUMPRODUCT(--($I$2:$I$64=$AE6),--($A$2:$A$64=AM$1))+SUMPRODUCT(--($I$2:$I$64=$AF6),--($A$2:$A$64=AM$1))</f>
        <v>0</v>
      </c>
      <c r="AN6" cm="1">
        <f t="array" ref="AN6">SUMPRODUCT(--($I$2:$I$64=$AC6),--($A$2:$A$64=AN$1))+SUMPRODUCT(--($I$2:$I$64=$AD6),--($A$2:$A$64=AN$1))+SUMPRODUCT(--($I$2:$I$64=$AE6),--($A$2:$A$64=AN$1))+SUMPRODUCT(--($I$2:$I$64=$AF6),--($A$2:$A$64=AN$1))</f>
        <v>0</v>
      </c>
      <c r="AP6">
        <f t="shared" si="4"/>
        <v>9</v>
      </c>
    </row>
    <row r="7" spans="1:42" x14ac:dyDescent="0.2">
      <c r="A7">
        <v>1</v>
      </c>
      <c r="B7" t="s">
        <v>7</v>
      </c>
      <c r="C7">
        <v>6</v>
      </c>
      <c r="D7" t="s">
        <v>18</v>
      </c>
      <c r="E7" t="s">
        <v>19</v>
      </c>
      <c r="F7">
        <v>92</v>
      </c>
      <c r="G7">
        <v>67</v>
      </c>
      <c r="I7" t="str">
        <f t="shared" si="0"/>
        <v>Michigan State</v>
      </c>
      <c r="J7">
        <f t="shared" si="1"/>
        <v>2</v>
      </c>
      <c r="K7">
        <f t="shared" si="2"/>
        <v>7</v>
      </c>
      <c r="AB7" t="s">
        <v>99</v>
      </c>
      <c r="AC7" t="s">
        <v>59</v>
      </c>
      <c r="AD7" t="s">
        <v>29</v>
      </c>
      <c r="AE7" t="s">
        <v>68</v>
      </c>
      <c r="AF7" t="s">
        <v>26</v>
      </c>
      <c r="AI7" cm="1">
        <f t="array" ref="AI7">SUMPRODUCT(--($I$2:$I$64=$AC7),--($A$2:$A$64=AI$1))+SUMPRODUCT(--($I$2:$I$64=$AD7),--($A$2:$A$64=AI$1))+SUMPRODUCT(--($I$2:$I$64=$AE7),--($A$2:$A$64=AI$1))+SUMPRODUCT(--($I$2:$I$64=$AF7),--($A$2:$A$64=AI$1))</f>
        <v>2</v>
      </c>
      <c r="AJ7" cm="1">
        <f t="array" ref="AJ7">SUMPRODUCT(--($I$2:$I$64=$AC7),--($A$2:$A$64=AJ$1))+SUMPRODUCT(--($I$2:$I$64=$AD7),--($A$2:$A$64=AJ$1))+SUMPRODUCT(--($I$2:$I$64=$AE7),--($A$2:$A$64=AJ$1))+SUMPRODUCT(--($I$2:$I$64=$AF7),--($A$2:$A$64=AJ$1))</f>
        <v>1</v>
      </c>
      <c r="AK7" cm="1">
        <f t="array" ref="AK7">SUMPRODUCT(--($I$2:$I$64=$AC7),--($A$2:$A$64=AK$1))+SUMPRODUCT(--($I$2:$I$64=$AD7),--($A$2:$A$64=AK$1))+SUMPRODUCT(--($I$2:$I$64=$AE7),--($A$2:$A$64=AK$1))+SUMPRODUCT(--($I$2:$I$64=$AF7),--($A$2:$A$64=AK$1))</f>
        <v>1</v>
      </c>
      <c r="AL7" cm="1">
        <f t="array" ref="AL7">SUMPRODUCT(--($I$2:$I$64=$AC7),--($A$2:$A$64=AL$1))+SUMPRODUCT(--($I$2:$I$64=$AD7),--($A$2:$A$64=AL$1))+SUMPRODUCT(--($I$2:$I$64=$AE7),--($A$2:$A$64=AL$1))+SUMPRODUCT(--($I$2:$I$64=$AF7),--($A$2:$A$64=AL$1))</f>
        <v>0</v>
      </c>
      <c r="AM7" cm="1">
        <f t="array" ref="AM7">SUMPRODUCT(--($I$2:$I$64=$AC7),--($A$2:$A$64=AM$1))+SUMPRODUCT(--($I$2:$I$64=$AD7),--($A$2:$A$64=AM$1))+SUMPRODUCT(--($I$2:$I$64=$AE7),--($A$2:$A$64=AM$1))+SUMPRODUCT(--($I$2:$I$64=$AF7),--($A$2:$A$64=AM$1))</f>
        <v>0</v>
      </c>
      <c r="AN7" cm="1">
        <f t="array" ref="AN7">SUMPRODUCT(--($I$2:$I$64=$AC7),--($A$2:$A$64=AN$1))+SUMPRODUCT(--($I$2:$I$64=$AD7),--($A$2:$A$64=AN$1))+SUMPRODUCT(--($I$2:$I$64=$AE7),--($A$2:$A$64=AN$1))+SUMPRODUCT(--($I$2:$I$64=$AF7),--($A$2:$A$64=AN$1))</f>
        <v>0</v>
      </c>
      <c r="AP7">
        <f t="shared" si="4"/>
        <v>21</v>
      </c>
    </row>
    <row r="8" spans="1:42" x14ac:dyDescent="0.2">
      <c r="A8">
        <v>1</v>
      </c>
      <c r="B8" t="s">
        <v>7</v>
      </c>
      <c r="C8">
        <v>7</v>
      </c>
      <c r="D8" t="s">
        <v>20</v>
      </c>
      <c r="E8" t="s">
        <v>21</v>
      </c>
      <c r="F8">
        <v>75</v>
      </c>
      <c r="G8">
        <v>71</v>
      </c>
      <c r="I8" t="str">
        <f t="shared" si="0"/>
        <v>UCLA</v>
      </c>
      <c r="J8">
        <f t="shared" si="1"/>
        <v>5</v>
      </c>
      <c r="K8">
        <f t="shared" si="2"/>
        <v>1</v>
      </c>
      <c r="Q8" t="s">
        <v>93</v>
      </c>
      <c r="R8">
        <v>50</v>
      </c>
      <c r="S8">
        <v>100</v>
      </c>
      <c r="T8">
        <v>200</v>
      </c>
      <c r="U8">
        <v>400</v>
      </c>
      <c r="V8">
        <v>800</v>
      </c>
      <c r="W8">
        <v>1600</v>
      </c>
      <c r="Z8">
        <f>SUM(Z2:Z6)</f>
        <v>200</v>
      </c>
      <c r="AB8" t="s">
        <v>100</v>
      </c>
      <c r="AC8" t="s">
        <v>8</v>
      </c>
      <c r="AD8" t="s">
        <v>12</v>
      </c>
      <c r="AE8" t="s">
        <v>62</v>
      </c>
      <c r="AF8" t="s">
        <v>57</v>
      </c>
      <c r="AI8" cm="1">
        <f t="array" ref="AI8">SUMPRODUCT(--($I$2:$I$64=$AC8),--($A$2:$A$64=AI$1))+SUMPRODUCT(--($I$2:$I$64=$AD8),--($A$2:$A$64=AI$1))+SUMPRODUCT(--($I$2:$I$64=$AE8),--($A$2:$A$64=AI$1))+SUMPRODUCT(--($I$2:$I$64=$AF8),--($A$2:$A$64=AI$1))</f>
        <v>3</v>
      </c>
      <c r="AJ8" cm="1">
        <f t="array" ref="AJ8">SUMPRODUCT(--($I$2:$I$64=$AC8),--($A$2:$A$64=AJ$1))+SUMPRODUCT(--($I$2:$I$64=$AD8),--($A$2:$A$64=AJ$1))+SUMPRODUCT(--($I$2:$I$64=$AE8),--($A$2:$A$64=AJ$1))+SUMPRODUCT(--($I$2:$I$64=$AF8),--($A$2:$A$64=AJ$1))</f>
        <v>2</v>
      </c>
      <c r="AK8" cm="1">
        <f t="array" ref="AK8">SUMPRODUCT(--($I$2:$I$64=$AC8),--($A$2:$A$64=AK$1))+SUMPRODUCT(--($I$2:$I$64=$AD8),--($A$2:$A$64=AK$1))+SUMPRODUCT(--($I$2:$I$64=$AE8),--($A$2:$A$64=AK$1))+SUMPRODUCT(--($I$2:$I$64=$AF8),--($A$2:$A$64=AK$1))</f>
        <v>1</v>
      </c>
      <c r="AL8" cm="1">
        <f t="array" ref="AL8">SUMPRODUCT(--($I$2:$I$64=$AC8),--($A$2:$A$64=AL$1))+SUMPRODUCT(--($I$2:$I$64=$AD8),--($A$2:$A$64=AL$1))+SUMPRODUCT(--($I$2:$I$64=$AE8),--($A$2:$A$64=AL$1))+SUMPRODUCT(--($I$2:$I$64=$AF8),--($A$2:$A$64=AL$1))</f>
        <v>0</v>
      </c>
      <c r="AM8" cm="1">
        <f t="array" ref="AM8">SUMPRODUCT(--($I$2:$I$64=$AC8),--($A$2:$A$64=AM$1))+SUMPRODUCT(--($I$2:$I$64=$AD8),--($A$2:$A$64=AM$1))+SUMPRODUCT(--($I$2:$I$64=$AE8),--($A$2:$A$64=AM$1))+SUMPRODUCT(--($I$2:$I$64=$AF8),--($A$2:$A$64=AM$1))</f>
        <v>0</v>
      </c>
      <c r="AN8" cm="1">
        <f t="array" ref="AN8">SUMPRODUCT(--($I$2:$I$64=$AC8),--($A$2:$A$64=AN$1))+SUMPRODUCT(--($I$2:$I$64=$AD8),--($A$2:$A$64=AN$1))+SUMPRODUCT(--($I$2:$I$64=$AE8),--($A$2:$A$64=AN$1))+SUMPRODUCT(--($I$2:$I$64=$AF8),--($A$2:$A$64=AN$1))</f>
        <v>0</v>
      </c>
      <c r="AP8">
        <f t="shared" si="4"/>
        <v>29</v>
      </c>
    </row>
    <row r="9" spans="1:42" x14ac:dyDescent="0.2">
      <c r="A9">
        <v>1</v>
      </c>
      <c r="B9" t="s">
        <v>7</v>
      </c>
      <c r="C9">
        <v>8</v>
      </c>
      <c r="D9" t="s">
        <v>22</v>
      </c>
      <c r="E9" t="s">
        <v>23</v>
      </c>
      <c r="F9">
        <v>82</v>
      </c>
      <c r="G9">
        <v>71</v>
      </c>
      <c r="I9" t="str">
        <f t="shared" si="0"/>
        <v>Connecticut</v>
      </c>
      <c r="J9">
        <f t="shared" si="1"/>
        <v>2</v>
      </c>
      <c r="K9">
        <f t="shared" si="2"/>
        <v>1</v>
      </c>
      <c r="AB9" t="s">
        <v>101</v>
      </c>
      <c r="AC9" t="s">
        <v>73</v>
      </c>
      <c r="AD9" t="s">
        <v>63</v>
      </c>
      <c r="AE9" t="s">
        <v>13</v>
      </c>
      <c r="AF9" t="s">
        <v>9</v>
      </c>
      <c r="AI9" cm="1">
        <f t="array" ref="AI9">SUMPRODUCT(--($I$2:$I$64=$AC9),--($A$2:$A$64=AI$1))+SUMPRODUCT(--($I$2:$I$64=$AD9),--($A$2:$A$64=AI$1))+SUMPRODUCT(--($I$2:$I$64=$AE9),--($A$2:$A$64=AI$1))+SUMPRODUCT(--($I$2:$I$64=$AF9),--($A$2:$A$64=AI$1))</f>
        <v>2</v>
      </c>
      <c r="AJ9" cm="1">
        <f t="array" ref="AJ9">SUMPRODUCT(--($I$2:$I$64=$AC9),--($A$2:$A$64=AJ$1))+SUMPRODUCT(--($I$2:$I$64=$AD9),--($A$2:$A$64=AJ$1))+SUMPRODUCT(--($I$2:$I$64=$AE9),--($A$2:$A$64=AJ$1))+SUMPRODUCT(--($I$2:$I$64=$AF9),--($A$2:$A$64=AJ$1))</f>
        <v>1</v>
      </c>
      <c r="AK9" cm="1">
        <f t="array" ref="AK9">SUMPRODUCT(--($I$2:$I$64=$AC9),--($A$2:$A$64=AK$1))+SUMPRODUCT(--($I$2:$I$64=$AD9),--($A$2:$A$64=AK$1))+SUMPRODUCT(--($I$2:$I$64=$AE9),--($A$2:$A$64=AK$1))+SUMPRODUCT(--($I$2:$I$64=$AF9),--($A$2:$A$64=AK$1))</f>
        <v>0</v>
      </c>
      <c r="AL9" cm="1">
        <f t="array" ref="AL9">SUMPRODUCT(--($I$2:$I$64=$AC9),--($A$2:$A$64=AL$1))+SUMPRODUCT(--($I$2:$I$64=$AD9),--($A$2:$A$64=AL$1))+SUMPRODUCT(--($I$2:$I$64=$AE9),--($A$2:$A$64=AL$1))+SUMPRODUCT(--($I$2:$I$64=$AF9),--($A$2:$A$64=AL$1))</f>
        <v>0</v>
      </c>
      <c r="AM9" cm="1">
        <f t="array" ref="AM9">SUMPRODUCT(--($I$2:$I$64=$AC9),--($A$2:$A$64=AM$1))+SUMPRODUCT(--($I$2:$I$64=$AD9),--($A$2:$A$64=AM$1))+SUMPRODUCT(--($I$2:$I$64=$AE9),--($A$2:$A$64=AM$1))+SUMPRODUCT(--($I$2:$I$64=$AF9),--($A$2:$A$64=AM$1))</f>
        <v>0</v>
      </c>
      <c r="AN9" cm="1">
        <f t="array" ref="AN9">SUMPRODUCT(--($I$2:$I$64=$AC9),--($A$2:$A$64=AN$1))+SUMPRODUCT(--($I$2:$I$64=$AD9),--($A$2:$A$64=AN$1))+SUMPRODUCT(--($I$2:$I$64=$AE9),--($A$2:$A$64=AN$1))+SUMPRODUCT(--($I$2:$I$64=$AF9),--($A$2:$A$64=AN$1))</f>
        <v>0</v>
      </c>
      <c r="AP9">
        <f t="shared" si="4"/>
        <v>11</v>
      </c>
    </row>
    <row r="10" spans="1:42" x14ac:dyDescent="0.2">
      <c r="A10">
        <v>1</v>
      </c>
      <c r="B10" t="s">
        <v>24</v>
      </c>
      <c r="C10">
        <v>9</v>
      </c>
      <c r="D10" t="s">
        <v>25</v>
      </c>
      <c r="E10" t="s">
        <v>26</v>
      </c>
      <c r="F10">
        <v>114</v>
      </c>
      <c r="G10">
        <v>55</v>
      </c>
      <c r="I10" t="str">
        <f t="shared" si="0"/>
        <v>Florida</v>
      </c>
      <c r="J10">
        <f t="shared" si="1"/>
        <v>4</v>
      </c>
      <c r="K10">
        <f t="shared" si="2"/>
        <v>5</v>
      </c>
      <c r="Q10" t="s">
        <v>111</v>
      </c>
      <c r="R10">
        <v>100</v>
      </c>
      <c r="AB10" t="s">
        <v>102</v>
      </c>
      <c r="AC10" t="s">
        <v>22</v>
      </c>
      <c r="AD10" t="s">
        <v>71</v>
      </c>
      <c r="AE10" t="s">
        <v>47</v>
      </c>
      <c r="AF10" t="s">
        <v>66</v>
      </c>
      <c r="AI10" cm="1">
        <f t="array" ref="AI10">SUMPRODUCT(--($I$2:$I$64=$AC10),--($A$2:$A$64=AI$1))+SUMPRODUCT(--($I$2:$I$64=$AD10),--($A$2:$A$64=AI$1))+SUMPRODUCT(--($I$2:$I$64=$AE10),--($A$2:$A$64=AI$1))+SUMPRODUCT(--($I$2:$I$64=$AF10),--($A$2:$A$64=AI$1))</f>
        <v>3</v>
      </c>
      <c r="AJ10" cm="1">
        <f t="array" ref="AJ10">SUMPRODUCT(--($I$2:$I$64=$AC10),--($A$2:$A$64=AJ$1))+SUMPRODUCT(--($I$2:$I$64=$AD10),--($A$2:$A$64=AJ$1))+SUMPRODUCT(--($I$2:$I$64=$AE10),--($A$2:$A$64=AJ$1))+SUMPRODUCT(--($I$2:$I$64=$AF10),--($A$2:$A$64=AJ$1))</f>
        <v>2</v>
      </c>
      <c r="AK10" cm="1">
        <f t="array" ref="AK10">SUMPRODUCT(--($I$2:$I$64=$AC10),--($A$2:$A$64=AK$1))+SUMPRODUCT(--($I$2:$I$64=$AD10),--($A$2:$A$64=AK$1))+SUMPRODUCT(--($I$2:$I$64=$AE10),--($A$2:$A$64=AK$1))+SUMPRODUCT(--($I$2:$I$64=$AF10),--($A$2:$A$64=AK$1))</f>
        <v>1</v>
      </c>
      <c r="AL10" cm="1">
        <f t="array" ref="AL10">SUMPRODUCT(--($I$2:$I$64=$AC10),--($A$2:$A$64=AL$1))+SUMPRODUCT(--($I$2:$I$64=$AD10),--($A$2:$A$64=AL$1))+SUMPRODUCT(--($I$2:$I$64=$AE10),--($A$2:$A$64=AL$1))+SUMPRODUCT(--($I$2:$I$64=$AF10),--($A$2:$A$64=AL$1))</f>
        <v>0</v>
      </c>
      <c r="AM10" cm="1">
        <f t="array" ref="AM10">SUMPRODUCT(--($I$2:$I$64=$AC10),--($A$2:$A$64=AM$1))+SUMPRODUCT(--($I$2:$I$64=$AD10),--($A$2:$A$64=AM$1))+SUMPRODUCT(--($I$2:$I$64=$AE10),--($A$2:$A$64=AM$1))+SUMPRODUCT(--($I$2:$I$64=$AF10),--($A$2:$A$64=AM$1))</f>
        <v>0</v>
      </c>
      <c r="AN10" cm="1">
        <f t="array" ref="AN10">SUMPRODUCT(--($I$2:$I$64=$AC10),--($A$2:$A$64=AN$1))+SUMPRODUCT(--($I$2:$I$64=$AD10),--($A$2:$A$64=AN$1))+SUMPRODUCT(--($I$2:$I$64=$AE10),--($A$2:$A$64=AN$1))+SUMPRODUCT(--($I$2:$I$64=$AF10),--($A$2:$A$64=AN$1))</f>
        <v>0</v>
      </c>
      <c r="AP10">
        <f t="shared" si="4"/>
        <v>29</v>
      </c>
    </row>
    <row r="11" spans="1:42" x14ac:dyDescent="0.2">
      <c r="A11">
        <v>1</v>
      </c>
      <c r="B11" t="s">
        <v>24</v>
      </c>
      <c r="C11">
        <v>10</v>
      </c>
      <c r="D11" t="s">
        <v>27</v>
      </c>
      <c r="E11" t="s">
        <v>28</v>
      </c>
      <c r="F11">
        <v>61</v>
      </c>
      <c r="G11">
        <v>67</v>
      </c>
      <c r="I11" t="str">
        <f t="shared" si="0"/>
        <v>Iowa</v>
      </c>
      <c r="J11">
        <f t="shared" si="1"/>
        <v>7</v>
      </c>
      <c r="K11">
        <f t="shared" si="2"/>
        <v>1</v>
      </c>
      <c r="Q11" t="s">
        <v>112</v>
      </c>
      <c r="R11">
        <v>500</v>
      </c>
      <c r="AB11" t="s">
        <v>103</v>
      </c>
      <c r="AC11" t="s">
        <v>65</v>
      </c>
      <c r="AD11" t="s">
        <v>37</v>
      </c>
      <c r="AE11" t="s">
        <v>28</v>
      </c>
      <c r="AF11" t="s">
        <v>15</v>
      </c>
      <c r="AI11" cm="1">
        <f t="array" ref="AI11">SUMPRODUCT(--($I$2:$I$64=$AC11),--($A$2:$A$64=AI$1))+SUMPRODUCT(--($I$2:$I$64=$AD11),--($A$2:$A$64=AI$1))+SUMPRODUCT(--($I$2:$I$64=$AE11),--($A$2:$A$64=AI$1))+SUMPRODUCT(--($I$2:$I$64=$AF11),--($A$2:$A$64=AI$1))</f>
        <v>2</v>
      </c>
      <c r="AJ11" cm="1">
        <f t="array" ref="AJ11">SUMPRODUCT(--($I$2:$I$64=$AC11),--($A$2:$A$64=AJ$1))+SUMPRODUCT(--($I$2:$I$64=$AD11),--($A$2:$A$64=AJ$1))+SUMPRODUCT(--($I$2:$I$64=$AE11),--($A$2:$A$64=AJ$1))+SUMPRODUCT(--($I$2:$I$64=$AF11),--($A$2:$A$64=AJ$1))</f>
        <v>2</v>
      </c>
      <c r="AK11" cm="1">
        <f t="array" ref="AK11">SUMPRODUCT(--($I$2:$I$64=$AC11),--($A$2:$A$64=AK$1))+SUMPRODUCT(--($I$2:$I$64=$AD11),--($A$2:$A$64=AK$1))+SUMPRODUCT(--($I$2:$I$64=$AE11),--($A$2:$A$64=AK$1))+SUMPRODUCT(--($I$2:$I$64=$AF11),--($A$2:$A$64=AK$1))</f>
        <v>1</v>
      </c>
      <c r="AL11" cm="1">
        <f t="array" ref="AL11">SUMPRODUCT(--($I$2:$I$64=$AC11),--($A$2:$A$64=AL$1))+SUMPRODUCT(--($I$2:$I$64=$AD11),--($A$2:$A$64=AL$1))+SUMPRODUCT(--($I$2:$I$64=$AE11),--($A$2:$A$64=AL$1))+SUMPRODUCT(--($I$2:$I$64=$AF11),--($A$2:$A$64=AL$1))</f>
        <v>0</v>
      </c>
      <c r="AM11" cm="1">
        <f t="array" ref="AM11">SUMPRODUCT(--($I$2:$I$64=$AC11),--($A$2:$A$64=AM$1))+SUMPRODUCT(--($I$2:$I$64=$AD11),--($A$2:$A$64=AM$1))+SUMPRODUCT(--($I$2:$I$64=$AE11),--($A$2:$A$64=AM$1))+SUMPRODUCT(--($I$2:$I$64=$AF11),--($A$2:$A$64=AM$1))</f>
        <v>0</v>
      </c>
      <c r="AN11" cm="1">
        <f t="array" ref="AN11">SUMPRODUCT(--($I$2:$I$64=$AC11),--($A$2:$A$64=AN$1))+SUMPRODUCT(--($I$2:$I$64=$AD11),--($A$2:$A$64=AN$1))+SUMPRODUCT(--($I$2:$I$64=$AE11),--($A$2:$A$64=AN$1))+SUMPRODUCT(--($I$2:$I$64=$AF11),--($A$2:$A$64=AN$1))</f>
        <v>0</v>
      </c>
      <c r="AP11">
        <f t="shared" si="4"/>
        <v>26</v>
      </c>
    </row>
    <row r="12" spans="1:42" x14ac:dyDescent="0.2">
      <c r="A12">
        <v>1</v>
      </c>
      <c r="B12" t="s">
        <v>24</v>
      </c>
      <c r="C12">
        <v>11</v>
      </c>
      <c r="D12" t="s">
        <v>29</v>
      </c>
      <c r="E12" t="s">
        <v>30</v>
      </c>
      <c r="F12">
        <v>78</v>
      </c>
      <c r="G12">
        <v>68</v>
      </c>
      <c r="I12" t="str">
        <f t="shared" si="0"/>
        <v>Vanderbilt</v>
      </c>
      <c r="J12">
        <f t="shared" si="1"/>
        <v>8</v>
      </c>
      <c r="K12">
        <f t="shared" si="2"/>
        <v>8</v>
      </c>
      <c r="AB12" t="s">
        <v>104</v>
      </c>
      <c r="AC12" t="s">
        <v>18</v>
      </c>
      <c r="AD12" t="s">
        <v>61</v>
      </c>
      <c r="AE12" t="s">
        <v>45</v>
      </c>
      <c r="AF12" t="s">
        <v>53</v>
      </c>
      <c r="AI12" cm="1">
        <f t="array" ref="AI12">SUMPRODUCT(--($I$2:$I$64=$AC12),--($A$2:$A$64=AI$1))+SUMPRODUCT(--($I$2:$I$64=$AD12),--($A$2:$A$64=AI$1))+SUMPRODUCT(--($I$2:$I$64=$AE12),--($A$2:$A$64=AI$1))+SUMPRODUCT(--($I$2:$I$64=$AF12),--($A$2:$A$64=AI$1))</f>
        <v>2</v>
      </c>
      <c r="AJ12" cm="1">
        <f t="array" ref="AJ12">SUMPRODUCT(--($I$2:$I$64=$AC12),--($A$2:$A$64=AJ$1))+SUMPRODUCT(--($I$2:$I$64=$AD12),--($A$2:$A$64=AJ$1))+SUMPRODUCT(--($I$2:$I$64=$AE12),--($A$2:$A$64=AJ$1))+SUMPRODUCT(--($I$2:$I$64=$AF12),--($A$2:$A$64=AJ$1))</f>
        <v>2</v>
      </c>
      <c r="AK12" cm="1">
        <f t="array" ref="AK12">SUMPRODUCT(--($I$2:$I$64=$AC12),--($A$2:$A$64=AK$1))+SUMPRODUCT(--($I$2:$I$64=$AD12),--($A$2:$A$64=AK$1))+SUMPRODUCT(--($I$2:$I$64=$AE12),--($A$2:$A$64=AK$1))+SUMPRODUCT(--($I$2:$I$64=$AF12),--($A$2:$A$64=AK$1))</f>
        <v>0</v>
      </c>
      <c r="AL12" cm="1">
        <f t="array" ref="AL12">SUMPRODUCT(--($I$2:$I$64=$AC12),--($A$2:$A$64=AL$1))+SUMPRODUCT(--($I$2:$I$64=$AD12),--($A$2:$A$64=AL$1))+SUMPRODUCT(--($I$2:$I$64=$AE12),--($A$2:$A$64=AL$1))+SUMPRODUCT(--($I$2:$I$64=$AF12),--($A$2:$A$64=AL$1))</f>
        <v>0</v>
      </c>
      <c r="AM12" cm="1">
        <f t="array" ref="AM12">SUMPRODUCT(--($I$2:$I$64=$AC12),--($A$2:$A$64=AM$1))+SUMPRODUCT(--($I$2:$I$64=$AD12),--($A$2:$A$64=AM$1))+SUMPRODUCT(--($I$2:$I$64=$AE12),--($A$2:$A$64=AM$1))+SUMPRODUCT(--($I$2:$I$64=$AF12),--($A$2:$A$64=AM$1))</f>
        <v>0</v>
      </c>
      <c r="AN12" cm="1">
        <f t="array" ref="AN12">SUMPRODUCT(--($I$2:$I$64=$AC12),--($A$2:$A$64=AN$1))+SUMPRODUCT(--($I$2:$I$64=$AD12),--($A$2:$A$64=AN$1))+SUMPRODUCT(--($I$2:$I$64=$AE12),--($A$2:$A$64=AN$1))+SUMPRODUCT(--($I$2:$I$64=$AF12),--($A$2:$A$64=AN$1))</f>
        <v>0</v>
      </c>
      <c r="AP12">
        <f t="shared" si="4"/>
        <v>16</v>
      </c>
    </row>
    <row r="13" spans="1:42" x14ac:dyDescent="0.2">
      <c r="A13">
        <v>1</v>
      </c>
      <c r="B13" t="s">
        <v>24</v>
      </c>
      <c r="C13">
        <v>12</v>
      </c>
      <c r="D13" t="s">
        <v>31</v>
      </c>
      <c r="E13" t="s">
        <v>32</v>
      </c>
      <c r="F13">
        <v>76</v>
      </c>
      <c r="G13">
        <v>47</v>
      </c>
      <c r="I13" t="str">
        <f t="shared" si="0"/>
        <v>Nebraska</v>
      </c>
      <c r="J13">
        <f t="shared" si="1"/>
        <v>6</v>
      </c>
      <c r="K13">
        <f t="shared" si="2"/>
        <v>7</v>
      </c>
      <c r="AB13" t="s">
        <v>106</v>
      </c>
      <c r="AC13" t="s">
        <v>31</v>
      </c>
      <c r="AD13" t="s">
        <v>44</v>
      </c>
      <c r="AE13" t="s">
        <v>51</v>
      </c>
      <c r="AF13" t="s">
        <v>49</v>
      </c>
      <c r="AI13" cm="1">
        <f t="array" ref="AI13">SUMPRODUCT(--($I$2:$I$64=$AC13),--($A$2:$A$64=AI$1))+SUMPRODUCT(--($I$2:$I$64=$AD13),--($A$2:$A$64=AI$1))+SUMPRODUCT(--($I$2:$I$64=$AE13),--($A$2:$A$64=AI$1))+SUMPRODUCT(--($I$2:$I$64=$AF13),--($A$2:$A$64=AI$1))</f>
        <v>2</v>
      </c>
      <c r="AJ13" cm="1">
        <f t="array" ref="AJ13">SUMPRODUCT(--($I$2:$I$64=$AC13),--($A$2:$A$64=AJ$1))+SUMPRODUCT(--($I$2:$I$64=$AD13),--($A$2:$A$64=AJ$1))+SUMPRODUCT(--($I$2:$I$64=$AE13),--($A$2:$A$64=AJ$1))+SUMPRODUCT(--($I$2:$I$64=$AF13),--($A$2:$A$64=AJ$1))</f>
        <v>2</v>
      </c>
      <c r="AK13" cm="1">
        <f t="array" ref="AK13">SUMPRODUCT(--($I$2:$I$64=$AC13),--($A$2:$A$64=AK$1))+SUMPRODUCT(--($I$2:$I$64=$AD13),--($A$2:$A$64=AK$1))+SUMPRODUCT(--($I$2:$I$64=$AE13),--($A$2:$A$64=AK$1))+SUMPRODUCT(--($I$2:$I$64=$AF13),--($A$2:$A$64=AK$1))</f>
        <v>0</v>
      </c>
      <c r="AL13" cm="1">
        <f t="array" ref="AL13">SUMPRODUCT(--($I$2:$I$64=$AC13),--($A$2:$A$64=AL$1))+SUMPRODUCT(--($I$2:$I$64=$AD13),--($A$2:$A$64=AL$1))+SUMPRODUCT(--($I$2:$I$64=$AE13),--($A$2:$A$64=AL$1))+SUMPRODUCT(--($I$2:$I$64=$AF13),--($A$2:$A$64=AL$1))</f>
        <v>0</v>
      </c>
      <c r="AM13" cm="1">
        <f t="array" ref="AM13">SUMPRODUCT(--($I$2:$I$64=$AC13),--($A$2:$A$64=AM$1))+SUMPRODUCT(--($I$2:$I$64=$AD13),--($A$2:$A$64=AM$1))+SUMPRODUCT(--($I$2:$I$64=$AE13),--($A$2:$A$64=AM$1))+SUMPRODUCT(--($I$2:$I$64=$AF13),--($A$2:$A$64=AM$1))</f>
        <v>0</v>
      </c>
      <c r="AN13" cm="1">
        <f t="array" ref="AN13">SUMPRODUCT(--($I$2:$I$64=$AC13),--($A$2:$A$64=AN$1))+SUMPRODUCT(--($I$2:$I$64=$AD13),--($A$2:$A$64=AN$1))+SUMPRODUCT(--($I$2:$I$64=$AE13),--($A$2:$A$64=AN$1))+SUMPRODUCT(--($I$2:$I$64=$AF13),--($A$2:$A$64=AN$1))</f>
        <v>0</v>
      </c>
      <c r="AP13">
        <f t="shared" si="4"/>
        <v>16</v>
      </c>
    </row>
    <row r="14" spans="1:42" x14ac:dyDescent="0.2">
      <c r="A14">
        <v>1</v>
      </c>
      <c r="B14" t="s">
        <v>24</v>
      </c>
      <c r="C14">
        <v>13</v>
      </c>
      <c r="D14" t="s">
        <v>33</v>
      </c>
      <c r="E14" t="s">
        <v>34</v>
      </c>
      <c r="F14">
        <v>78</v>
      </c>
      <c r="G14">
        <v>82</v>
      </c>
      <c r="I14" t="str">
        <f t="shared" si="0"/>
        <v>Virginia Commonwealth</v>
      </c>
      <c r="J14">
        <f t="shared" si="1"/>
        <v>2</v>
      </c>
      <c r="K14">
        <f t="shared" si="2"/>
        <v>8</v>
      </c>
      <c r="AB14" t="s">
        <v>105</v>
      </c>
      <c r="AC14" t="s">
        <v>39</v>
      </c>
      <c r="AD14" t="s">
        <v>50</v>
      </c>
      <c r="AE14" t="s">
        <v>55</v>
      </c>
      <c r="AF14" t="s">
        <v>19</v>
      </c>
      <c r="AI14" cm="1">
        <f t="array" ref="AI14">SUMPRODUCT(--($I$2:$I$64=$AC14),--($A$2:$A$64=AI$1))+SUMPRODUCT(--($I$2:$I$64=$AD14),--($A$2:$A$64=AI$1))+SUMPRODUCT(--($I$2:$I$64=$AE14),--($A$2:$A$64=AI$1))+SUMPRODUCT(--($I$2:$I$64=$AF14),--($A$2:$A$64=AI$1))</f>
        <v>1</v>
      </c>
      <c r="AJ14" cm="1">
        <f t="array" ref="AJ14">SUMPRODUCT(--($I$2:$I$64=$AC14),--($A$2:$A$64=AJ$1))+SUMPRODUCT(--($I$2:$I$64=$AD14),--($A$2:$A$64=AJ$1))+SUMPRODUCT(--($I$2:$I$64=$AE14),--($A$2:$A$64=AJ$1))+SUMPRODUCT(--($I$2:$I$64=$AF14),--($A$2:$A$64=AJ$1))</f>
        <v>1</v>
      </c>
      <c r="AK14" cm="1">
        <f t="array" ref="AK14">SUMPRODUCT(--($I$2:$I$64=$AC14),--($A$2:$A$64=AK$1))+SUMPRODUCT(--($I$2:$I$64=$AD14),--($A$2:$A$64=AK$1))+SUMPRODUCT(--($I$2:$I$64=$AE14),--($A$2:$A$64=AK$1))+SUMPRODUCT(--($I$2:$I$64=$AF14),--($A$2:$A$64=AK$1))</f>
        <v>0</v>
      </c>
      <c r="AL14" cm="1">
        <f t="array" ref="AL14">SUMPRODUCT(--($I$2:$I$64=$AC14),--($A$2:$A$64=AL$1))+SUMPRODUCT(--($I$2:$I$64=$AD14),--($A$2:$A$64=AL$1))+SUMPRODUCT(--($I$2:$I$64=$AE14),--($A$2:$A$64=AL$1))+SUMPRODUCT(--($I$2:$I$64=$AF14),--($A$2:$A$64=AL$1))</f>
        <v>0</v>
      </c>
      <c r="AM14" cm="1">
        <f t="array" ref="AM14">SUMPRODUCT(--($I$2:$I$64=$AC14),--($A$2:$A$64=AM$1))+SUMPRODUCT(--($I$2:$I$64=$AD14),--($A$2:$A$64=AM$1))+SUMPRODUCT(--($I$2:$I$64=$AE14),--($A$2:$A$64=AM$1))+SUMPRODUCT(--($I$2:$I$64=$AF14),--($A$2:$A$64=AM$1))</f>
        <v>0</v>
      </c>
      <c r="AN14" cm="1">
        <f t="array" ref="AN14">SUMPRODUCT(--($I$2:$I$64=$AC14),--($A$2:$A$64=AN$1))+SUMPRODUCT(--($I$2:$I$64=$AD14),--($A$2:$A$64=AN$1))+SUMPRODUCT(--($I$2:$I$64=$AE14),--($A$2:$A$64=AN$1))+SUMPRODUCT(--($I$2:$I$64=$AF14),--($A$2:$A$64=AN$1))</f>
        <v>0</v>
      </c>
      <c r="AP14">
        <f t="shared" si="4"/>
        <v>8</v>
      </c>
    </row>
    <row r="15" spans="1:42" x14ac:dyDescent="0.2">
      <c r="A15">
        <v>1</v>
      </c>
      <c r="B15" t="s">
        <v>24</v>
      </c>
      <c r="C15">
        <v>14</v>
      </c>
      <c r="D15" t="s">
        <v>35</v>
      </c>
      <c r="E15" t="s">
        <v>36</v>
      </c>
      <c r="F15">
        <v>105</v>
      </c>
      <c r="G15">
        <v>70</v>
      </c>
      <c r="I15" t="str">
        <f t="shared" si="0"/>
        <v>Illinois</v>
      </c>
      <c r="J15">
        <f t="shared" si="1"/>
        <v>5</v>
      </c>
      <c r="K15">
        <f t="shared" si="2"/>
        <v>0</v>
      </c>
      <c r="AB15" t="s">
        <v>107</v>
      </c>
      <c r="AC15" t="s">
        <v>25</v>
      </c>
      <c r="AD15" t="s">
        <v>20</v>
      </c>
      <c r="AE15" t="s">
        <v>17</v>
      </c>
      <c r="AF15" t="s">
        <v>32</v>
      </c>
      <c r="AI15" cm="1">
        <f t="array" ref="AI15">SUMPRODUCT(--($I$2:$I$64=$AC15),--($A$2:$A$64=AI$1))+SUMPRODUCT(--($I$2:$I$64=$AD15),--($A$2:$A$64=AI$1))+SUMPRODUCT(--($I$2:$I$64=$AE15),--($A$2:$A$64=AI$1))+SUMPRODUCT(--($I$2:$I$64=$AF15),--($A$2:$A$64=AI$1))</f>
        <v>2</v>
      </c>
      <c r="AJ15" cm="1">
        <f t="array" ref="AJ15">SUMPRODUCT(--($I$2:$I$64=$AC15),--($A$2:$A$64=AJ$1))+SUMPRODUCT(--($I$2:$I$64=$AD15),--($A$2:$A$64=AJ$1))+SUMPRODUCT(--($I$2:$I$64=$AE15),--($A$2:$A$64=AJ$1))+SUMPRODUCT(--($I$2:$I$64=$AF15),--($A$2:$A$64=AJ$1))</f>
        <v>0</v>
      </c>
      <c r="AK15" cm="1">
        <f t="array" ref="AK15">SUMPRODUCT(--($I$2:$I$64=$AC15),--($A$2:$A$64=AK$1))+SUMPRODUCT(--($I$2:$I$64=$AD15),--($A$2:$A$64=AK$1))+SUMPRODUCT(--($I$2:$I$64=$AE15),--($A$2:$A$64=AK$1))+SUMPRODUCT(--($I$2:$I$64=$AF15),--($A$2:$A$64=AK$1))</f>
        <v>0</v>
      </c>
      <c r="AL15" cm="1">
        <f t="array" ref="AL15">SUMPRODUCT(--($I$2:$I$64=$AC15),--($A$2:$A$64=AL$1))+SUMPRODUCT(--($I$2:$I$64=$AD15),--($A$2:$A$64=AL$1))+SUMPRODUCT(--($I$2:$I$64=$AE15),--($A$2:$A$64=AL$1))+SUMPRODUCT(--($I$2:$I$64=$AF15),--($A$2:$A$64=AL$1))</f>
        <v>0</v>
      </c>
      <c r="AM15" cm="1">
        <f t="array" ref="AM15">SUMPRODUCT(--($I$2:$I$64=$AC15),--($A$2:$A$64=AM$1))+SUMPRODUCT(--($I$2:$I$64=$AD15),--($A$2:$A$64=AM$1))+SUMPRODUCT(--($I$2:$I$64=$AE15),--($A$2:$A$64=AM$1))+SUMPRODUCT(--($I$2:$I$64=$AF15),--($A$2:$A$64=AM$1))</f>
        <v>0</v>
      </c>
      <c r="AN15" cm="1">
        <f t="array" ref="AN15">SUMPRODUCT(--($I$2:$I$64=$AC15),--($A$2:$A$64=AN$1))+SUMPRODUCT(--($I$2:$I$64=$AD15),--($A$2:$A$64=AN$1))+SUMPRODUCT(--($I$2:$I$64=$AE15),--($A$2:$A$64=AN$1))+SUMPRODUCT(--($I$2:$I$64=$AF15),--($A$2:$A$64=AN$1))</f>
        <v>0</v>
      </c>
      <c r="AP15">
        <f t="shared" si="4"/>
        <v>6</v>
      </c>
    </row>
    <row r="16" spans="1:42" x14ac:dyDescent="0.2">
      <c r="A16">
        <v>1</v>
      </c>
      <c r="B16" t="s">
        <v>24</v>
      </c>
      <c r="C16">
        <v>15</v>
      </c>
      <c r="D16" t="s">
        <v>37</v>
      </c>
      <c r="E16" t="s">
        <v>38</v>
      </c>
      <c r="F16">
        <v>50</v>
      </c>
      <c r="G16">
        <v>63</v>
      </c>
      <c r="I16" t="str">
        <f t="shared" si="0"/>
        <v>Texas A&amp;M</v>
      </c>
      <c r="J16">
        <f t="shared" si="1"/>
        <v>3</v>
      </c>
      <c r="K16">
        <f t="shared" si="2"/>
        <v>0</v>
      </c>
      <c r="AB16" t="s">
        <v>108</v>
      </c>
      <c r="AC16" t="s">
        <v>42</v>
      </c>
      <c r="AD16" t="s">
        <v>10</v>
      </c>
      <c r="AE16" t="s">
        <v>34</v>
      </c>
      <c r="AF16" t="s">
        <v>70</v>
      </c>
      <c r="AI16" cm="1">
        <f t="array" ref="AI16">SUMPRODUCT(--($I$2:$I$64=$AC16),--($A$2:$A$64=AI$1))+SUMPRODUCT(--($I$2:$I$64=$AD16),--($A$2:$A$64=AI$1))+SUMPRODUCT(--($I$2:$I$64=$AE16),--($A$2:$A$64=AI$1))+SUMPRODUCT(--($I$2:$I$64=$AF16),--($A$2:$A$64=AI$1))</f>
        <v>2</v>
      </c>
      <c r="AJ16" cm="1">
        <f t="array" ref="AJ16">SUMPRODUCT(--($I$2:$I$64=$AC16),--($A$2:$A$64=AJ$1))+SUMPRODUCT(--($I$2:$I$64=$AD16),--($A$2:$A$64=AJ$1))+SUMPRODUCT(--($I$2:$I$64=$AE16),--($A$2:$A$64=AJ$1))+SUMPRODUCT(--($I$2:$I$64=$AF16),--($A$2:$A$64=AJ$1))</f>
        <v>0</v>
      </c>
      <c r="AK16" cm="1">
        <f t="array" ref="AK16">SUMPRODUCT(--($I$2:$I$64=$AC16),--($A$2:$A$64=AK$1))+SUMPRODUCT(--($I$2:$I$64=$AD16),--($A$2:$A$64=AK$1))+SUMPRODUCT(--($I$2:$I$64=$AE16),--($A$2:$A$64=AK$1))+SUMPRODUCT(--($I$2:$I$64=$AF16),--($A$2:$A$64=AK$1))</f>
        <v>1</v>
      </c>
      <c r="AL16" cm="1">
        <f t="array" ref="AL16">SUMPRODUCT(--($I$2:$I$64=$AC16),--($A$2:$A$64=AL$1))+SUMPRODUCT(--($I$2:$I$64=$AD16),--($A$2:$A$64=AL$1))+SUMPRODUCT(--($I$2:$I$64=$AE16),--($A$2:$A$64=AL$1))+SUMPRODUCT(--($I$2:$I$64=$AF16),--($A$2:$A$64=AL$1))</f>
        <v>0</v>
      </c>
      <c r="AM16" cm="1">
        <f t="array" ref="AM16">SUMPRODUCT(--($I$2:$I$64=$AC16),--($A$2:$A$64=AM$1))+SUMPRODUCT(--($I$2:$I$64=$AD16),--($A$2:$A$64=AM$1))+SUMPRODUCT(--($I$2:$I$64=$AE16),--($A$2:$A$64=AM$1))+SUMPRODUCT(--($I$2:$I$64=$AF16),--($A$2:$A$64=AM$1))</f>
        <v>0</v>
      </c>
      <c r="AN16" cm="1">
        <f t="array" ref="AN16">SUMPRODUCT(--($I$2:$I$64=$AC16),--($A$2:$A$64=AN$1))+SUMPRODUCT(--($I$2:$I$64=$AD16),--($A$2:$A$64=AN$1))+SUMPRODUCT(--($I$2:$I$64=$AE16),--($A$2:$A$64=AN$1))+SUMPRODUCT(--($I$2:$I$64=$AF16),--($A$2:$A$64=AN$1))</f>
        <v>0</v>
      </c>
      <c r="AP16">
        <f t="shared" si="4"/>
        <v>16</v>
      </c>
    </row>
    <row r="17" spans="1:42" x14ac:dyDescent="0.2">
      <c r="A17">
        <v>1</v>
      </c>
      <c r="B17" t="s">
        <v>24</v>
      </c>
      <c r="C17">
        <v>16</v>
      </c>
      <c r="D17" t="s">
        <v>39</v>
      </c>
      <c r="E17" t="s">
        <v>40</v>
      </c>
      <c r="F17">
        <v>78</v>
      </c>
      <c r="G17">
        <v>47</v>
      </c>
      <c r="I17" t="str">
        <f t="shared" si="0"/>
        <v>Houston</v>
      </c>
      <c r="J17">
        <f t="shared" si="1"/>
        <v>8</v>
      </c>
      <c r="K17">
        <f t="shared" si="2"/>
        <v>7</v>
      </c>
      <c r="AB17" t="s">
        <v>109</v>
      </c>
      <c r="AC17" t="s">
        <v>48</v>
      </c>
      <c r="AD17" t="s">
        <v>27</v>
      </c>
      <c r="AE17" t="s">
        <v>30</v>
      </c>
      <c r="AF17" t="s">
        <v>60</v>
      </c>
      <c r="AI17" cm="1">
        <f t="array" ref="AI17">SUMPRODUCT(--($I$2:$I$64=$AC17),--($A$2:$A$64=AI$1))+SUMPRODUCT(--($I$2:$I$64=$AD17),--($A$2:$A$64=AI$1))+SUMPRODUCT(--($I$2:$I$64=$AE17),--($A$2:$A$64=AI$1))+SUMPRODUCT(--($I$2:$I$64=$AF17),--($A$2:$A$64=AI$1))</f>
        <v>1</v>
      </c>
      <c r="AJ17" cm="1">
        <f t="array" ref="AJ17">SUMPRODUCT(--($I$2:$I$64=$AC17),--($A$2:$A$64=AJ$1))+SUMPRODUCT(--($I$2:$I$64=$AD17),--($A$2:$A$64=AJ$1))+SUMPRODUCT(--($I$2:$I$64=$AE17),--($A$2:$A$64=AJ$1))+SUMPRODUCT(--($I$2:$I$64=$AF17),--($A$2:$A$64=AJ$1))</f>
        <v>0</v>
      </c>
      <c r="AK17" cm="1">
        <f t="array" ref="AK17">SUMPRODUCT(--($I$2:$I$64=$AC17),--($A$2:$A$64=AK$1))+SUMPRODUCT(--($I$2:$I$64=$AD17),--($A$2:$A$64=AK$1))+SUMPRODUCT(--($I$2:$I$64=$AE17),--($A$2:$A$64=AK$1))+SUMPRODUCT(--($I$2:$I$64=$AF17),--($A$2:$A$64=AK$1))</f>
        <v>0</v>
      </c>
      <c r="AL17" cm="1">
        <f t="array" ref="AL17">SUMPRODUCT(--($I$2:$I$64=$AC17),--($A$2:$A$64=AL$1))+SUMPRODUCT(--($I$2:$I$64=$AD17),--($A$2:$A$64=AL$1))+SUMPRODUCT(--($I$2:$I$64=$AE17),--($A$2:$A$64=AL$1))+SUMPRODUCT(--($I$2:$I$64=$AF17),--($A$2:$A$64=AL$1))</f>
        <v>0</v>
      </c>
      <c r="AM17" cm="1">
        <f t="array" ref="AM17">SUMPRODUCT(--($I$2:$I$64=$AC17),--($A$2:$A$64=AM$1))+SUMPRODUCT(--($I$2:$I$64=$AD17),--($A$2:$A$64=AM$1))+SUMPRODUCT(--($I$2:$I$64=$AE17),--($A$2:$A$64=AM$1))+SUMPRODUCT(--($I$2:$I$64=$AF17),--($A$2:$A$64=AM$1))</f>
        <v>0</v>
      </c>
      <c r="AN17" cm="1">
        <f t="array" ref="AN17">SUMPRODUCT(--($I$2:$I$64=$AC17),--($A$2:$A$64=AN$1))+SUMPRODUCT(--($I$2:$I$64=$AD17),--($A$2:$A$64=AN$1))+SUMPRODUCT(--($I$2:$I$64=$AE17),--($A$2:$A$64=AN$1))+SUMPRODUCT(--($I$2:$I$64=$AF17),--($A$2:$A$64=AN$1))</f>
        <v>0</v>
      </c>
      <c r="AP17">
        <f t="shared" si="4"/>
        <v>3</v>
      </c>
    </row>
    <row r="18" spans="1:42" x14ac:dyDescent="0.2">
      <c r="A18">
        <v>1</v>
      </c>
      <c r="B18" t="s">
        <v>41</v>
      </c>
      <c r="C18">
        <v>17</v>
      </c>
      <c r="D18" t="s">
        <v>42</v>
      </c>
      <c r="E18" t="s">
        <v>43</v>
      </c>
      <c r="F18">
        <v>92</v>
      </c>
      <c r="G18">
        <v>58</v>
      </c>
      <c r="I18" t="str">
        <f t="shared" si="0"/>
        <v>Arizona</v>
      </c>
      <c r="J18">
        <f t="shared" si="1"/>
        <v>2</v>
      </c>
      <c r="K18">
        <f t="shared" si="2"/>
        <v>8</v>
      </c>
    </row>
    <row r="19" spans="1:42" x14ac:dyDescent="0.2">
      <c r="A19">
        <v>1</v>
      </c>
      <c r="B19" t="s">
        <v>41</v>
      </c>
      <c r="C19">
        <v>18</v>
      </c>
      <c r="D19" t="s">
        <v>44</v>
      </c>
      <c r="E19" t="s">
        <v>45</v>
      </c>
      <c r="F19">
        <v>76</v>
      </c>
      <c r="G19">
        <v>86</v>
      </c>
      <c r="I19" t="str">
        <f t="shared" si="0"/>
        <v>Utah State</v>
      </c>
      <c r="J19">
        <f t="shared" si="1"/>
        <v>6</v>
      </c>
      <c r="K19">
        <f t="shared" si="2"/>
        <v>6</v>
      </c>
      <c r="AH19" t="s">
        <v>93</v>
      </c>
      <c r="AI19">
        <v>3</v>
      </c>
      <c r="AJ19">
        <v>5</v>
      </c>
      <c r="AK19">
        <v>10</v>
      </c>
      <c r="AL19">
        <v>15</v>
      </c>
      <c r="AM19">
        <v>22</v>
      </c>
      <c r="AN19">
        <v>40</v>
      </c>
      <c r="AP19">
        <f>SUM(AP6:AP8)</f>
        <v>59</v>
      </c>
    </row>
    <row r="20" spans="1:42" x14ac:dyDescent="0.2">
      <c r="A20">
        <v>1</v>
      </c>
      <c r="B20" t="s">
        <v>41</v>
      </c>
      <c r="C20">
        <v>19</v>
      </c>
      <c r="D20" t="s">
        <v>46</v>
      </c>
      <c r="E20" t="s">
        <v>47</v>
      </c>
      <c r="F20">
        <v>82</v>
      </c>
      <c r="G20">
        <v>83</v>
      </c>
      <c r="I20" t="str">
        <f t="shared" si="0"/>
        <v>High Point</v>
      </c>
      <c r="J20">
        <f t="shared" si="1"/>
        <v>3</v>
      </c>
      <c r="K20">
        <f t="shared" si="2"/>
        <v>2</v>
      </c>
    </row>
    <row r="21" spans="1:42" x14ac:dyDescent="0.2">
      <c r="A21">
        <v>1</v>
      </c>
      <c r="B21" t="s">
        <v>41</v>
      </c>
      <c r="C21">
        <v>20</v>
      </c>
      <c r="D21" t="s">
        <v>48</v>
      </c>
      <c r="E21" t="s">
        <v>49</v>
      </c>
      <c r="F21">
        <v>97</v>
      </c>
      <c r="G21">
        <v>78</v>
      </c>
      <c r="I21" t="str">
        <f t="shared" si="0"/>
        <v>Arkansas</v>
      </c>
      <c r="J21">
        <f t="shared" si="1"/>
        <v>7</v>
      </c>
      <c r="K21">
        <f t="shared" si="2"/>
        <v>8</v>
      </c>
      <c r="AH21" t="s">
        <v>111</v>
      </c>
      <c r="AI21">
        <v>25</v>
      </c>
    </row>
    <row r="22" spans="1:42" x14ac:dyDescent="0.2">
      <c r="A22">
        <v>1</v>
      </c>
      <c r="B22" t="s">
        <v>41</v>
      </c>
      <c r="C22">
        <v>21</v>
      </c>
      <c r="D22" t="s">
        <v>50</v>
      </c>
      <c r="E22" t="s">
        <v>51</v>
      </c>
      <c r="F22">
        <v>71</v>
      </c>
      <c r="G22">
        <v>79</v>
      </c>
      <c r="I22" t="str">
        <f t="shared" si="0"/>
        <v>Texas</v>
      </c>
      <c r="J22">
        <f t="shared" si="1"/>
        <v>9</v>
      </c>
      <c r="K22">
        <f t="shared" si="2"/>
        <v>1</v>
      </c>
      <c r="AH22" t="s">
        <v>112</v>
      </c>
      <c r="AI22">
        <v>75</v>
      </c>
    </row>
    <row r="23" spans="1:42" x14ac:dyDescent="0.2">
      <c r="A23">
        <v>1</v>
      </c>
      <c r="B23" t="s">
        <v>41</v>
      </c>
      <c r="C23">
        <v>22</v>
      </c>
      <c r="D23" t="s">
        <v>52</v>
      </c>
      <c r="E23" t="s">
        <v>53</v>
      </c>
      <c r="F23">
        <v>73</v>
      </c>
      <c r="G23">
        <v>64</v>
      </c>
      <c r="I23" t="str">
        <f t="shared" si="0"/>
        <v>Gonzaga</v>
      </c>
      <c r="J23">
        <f t="shared" si="1"/>
        <v>3</v>
      </c>
      <c r="K23">
        <f t="shared" si="2"/>
        <v>4</v>
      </c>
    </row>
    <row r="24" spans="1:42" x14ac:dyDescent="0.2">
      <c r="A24">
        <v>1</v>
      </c>
      <c r="B24" t="s">
        <v>41</v>
      </c>
      <c r="C24">
        <v>23</v>
      </c>
      <c r="D24" t="s">
        <v>54</v>
      </c>
      <c r="E24" t="s">
        <v>55</v>
      </c>
      <c r="F24">
        <v>80</v>
      </c>
      <c r="G24">
        <v>66</v>
      </c>
      <c r="I24" t="str">
        <f t="shared" si="0"/>
        <v>Miami (FL)</v>
      </c>
      <c r="J24">
        <f t="shared" si="1"/>
        <v>0</v>
      </c>
      <c r="K24">
        <f t="shared" si="2"/>
        <v>6</v>
      </c>
    </row>
    <row r="25" spans="1:42" x14ac:dyDescent="0.2">
      <c r="A25">
        <v>1</v>
      </c>
      <c r="B25" t="s">
        <v>41</v>
      </c>
      <c r="C25">
        <v>24</v>
      </c>
      <c r="D25" t="s">
        <v>56</v>
      </c>
      <c r="E25" t="s">
        <v>57</v>
      </c>
      <c r="F25">
        <v>104</v>
      </c>
      <c r="G25">
        <v>71</v>
      </c>
      <c r="I25" t="str">
        <f t="shared" si="0"/>
        <v>Purdue</v>
      </c>
      <c r="J25">
        <f t="shared" si="1"/>
        <v>4</v>
      </c>
      <c r="K25">
        <f t="shared" si="2"/>
        <v>1</v>
      </c>
    </row>
    <row r="26" spans="1:42" x14ac:dyDescent="0.2">
      <c r="A26">
        <v>1</v>
      </c>
      <c r="B26" t="s">
        <v>58</v>
      </c>
      <c r="C26">
        <v>25</v>
      </c>
      <c r="D26" t="s">
        <v>59</v>
      </c>
      <c r="E26" t="s">
        <v>60</v>
      </c>
      <c r="F26">
        <v>101</v>
      </c>
      <c r="G26">
        <v>80</v>
      </c>
      <c r="I26" t="str">
        <f t="shared" si="0"/>
        <v>Michigan</v>
      </c>
      <c r="J26">
        <f t="shared" si="1"/>
        <v>1</v>
      </c>
      <c r="K26">
        <f t="shared" si="2"/>
        <v>0</v>
      </c>
    </row>
    <row r="27" spans="1:42" x14ac:dyDescent="0.2">
      <c r="A27">
        <v>1</v>
      </c>
      <c r="B27" t="s">
        <v>58</v>
      </c>
      <c r="C27">
        <v>26</v>
      </c>
      <c r="D27" t="s">
        <v>61</v>
      </c>
      <c r="E27" t="s">
        <v>62</v>
      </c>
      <c r="F27">
        <v>77</v>
      </c>
      <c r="G27">
        <v>102</v>
      </c>
      <c r="I27" t="str">
        <f t="shared" si="0"/>
        <v>Saint Louis</v>
      </c>
      <c r="J27">
        <f t="shared" si="1"/>
        <v>2</v>
      </c>
      <c r="K27">
        <f t="shared" si="2"/>
        <v>7</v>
      </c>
    </row>
    <row r="28" spans="1:42" x14ac:dyDescent="0.2">
      <c r="A28">
        <v>1</v>
      </c>
      <c r="B28" t="s">
        <v>58</v>
      </c>
      <c r="C28">
        <v>27</v>
      </c>
      <c r="D28" t="s">
        <v>63</v>
      </c>
      <c r="E28" t="s">
        <v>64</v>
      </c>
      <c r="F28">
        <v>91</v>
      </c>
      <c r="G28">
        <v>71</v>
      </c>
      <c r="I28" t="str">
        <f t="shared" si="0"/>
        <v>Texas Tech</v>
      </c>
      <c r="J28">
        <f t="shared" si="1"/>
        <v>1</v>
      </c>
      <c r="K28">
        <f t="shared" si="2"/>
        <v>1</v>
      </c>
    </row>
    <row r="29" spans="1:42" x14ac:dyDescent="0.2">
      <c r="A29">
        <v>1</v>
      </c>
      <c r="B29" t="s">
        <v>58</v>
      </c>
      <c r="C29">
        <v>28</v>
      </c>
      <c r="D29" t="s">
        <v>65</v>
      </c>
      <c r="E29" t="s">
        <v>66</v>
      </c>
      <c r="F29">
        <v>90</v>
      </c>
      <c r="G29">
        <v>70</v>
      </c>
      <c r="I29" t="str">
        <f t="shared" si="0"/>
        <v>Alabama</v>
      </c>
      <c r="J29">
        <f t="shared" si="1"/>
        <v>0</v>
      </c>
      <c r="K29">
        <f t="shared" si="2"/>
        <v>0</v>
      </c>
    </row>
    <row r="30" spans="1:42" x14ac:dyDescent="0.2">
      <c r="A30">
        <v>1</v>
      </c>
      <c r="B30" t="s">
        <v>58</v>
      </c>
      <c r="C30">
        <v>29</v>
      </c>
      <c r="D30" t="s">
        <v>67</v>
      </c>
      <c r="E30" t="s">
        <v>68</v>
      </c>
      <c r="F30">
        <v>78</v>
      </c>
      <c r="G30">
        <v>56</v>
      </c>
      <c r="I30" t="str">
        <f t="shared" si="0"/>
        <v>Tennessee</v>
      </c>
      <c r="J30">
        <f t="shared" si="1"/>
        <v>8</v>
      </c>
      <c r="K30">
        <f t="shared" si="2"/>
        <v>6</v>
      </c>
    </row>
    <row r="31" spans="1:42" x14ac:dyDescent="0.2">
      <c r="A31">
        <v>1</v>
      </c>
      <c r="B31" t="s">
        <v>58</v>
      </c>
      <c r="C31">
        <v>30</v>
      </c>
      <c r="D31" t="s">
        <v>69</v>
      </c>
      <c r="E31" t="s">
        <v>70</v>
      </c>
      <c r="F31">
        <v>82</v>
      </c>
      <c r="G31">
        <v>73</v>
      </c>
      <c r="I31" t="str">
        <f t="shared" si="0"/>
        <v>Virginia</v>
      </c>
      <c r="J31">
        <f t="shared" si="1"/>
        <v>2</v>
      </c>
      <c r="K31">
        <f t="shared" si="2"/>
        <v>3</v>
      </c>
    </row>
    <row r="32" spans="1:42" x14ac:dyDescent="0.2">
      <c r="A32">
        <v>1</v>
      </c>
      <c r="B32" t="s">
        <v>58</v>
      </c>
      <c r="C32">
        <v>31</v>
      </c>
      <c r="D32" t="s">
        <v>71</v>
      </c>
      <c r="E32" t="s">
        <v>72</v>
      </c>
      <c r="F32">
        <v>89</v>
      </c>
      <c r="G32">
        <v>84</v>
      </c>
      <c r="I32" t="str">
        <f t="shared" si="0"/>
        <v>Kentucky</v>
      </c>
      <c r="J32">
        <f t="shared" si="1"/>
        <v>9</v>
      </c>
      <c r="K32">
        <f t="shared" si="2"/>
        <v>4</v>
      </c>
    </row>
    <row r="33" spans="1:31" x14ac:dyDescent="0.2">
      <c r="A33">
        <v>1</v>
      </c>
      <c r="B33" t="s">
        <v>58</v>
      </c>
      <c r="C33">
        <v>32</v>
      </c>
      <c r="D33" t="s">
        <v>73</v>
      </c>
      <c r="E33" t="s">
        <v>74</v>
      </c>
      <c r="F33">
        <v>108</v>
      </c>
      <c r="G33">
        <v>74</v>
      </c>
      <c r="I33" t="str">
        <f t="shared" si="0"/>
        <v>Iowa State</v>
      </c>
      <c r="J33">
        <f t="shared" si="1"/>
        <v>8</v>
      </c>
      <c r="K33">
        <f t="shared" si="2"/>
        <v>4</v>
      </c>
    </row>
    <row r="34" spans="1:31" x14ac:dyDescent="0.2">
      <c r="A34">
        <v>2</v>
      </c>
      <c r="B34" t="s">
        <v>7</v>
      </c>
      <c r="C34">
        <v>1</v>
      </c>
      <c r="D34" t="s">
        <v>8</v>
      </c>
      <c r="E34" t="s">
        <v>11</v>
      </c>
      <c r="F34">
        <v>81</v>
      </c>
      <c r="G34">
        <v>58</v>
      </c>
      <c r="I34" t="str">
        <f t="shared" si="0"/>
        <v>Duke</v>
      </c>
      <c r="J34">
        <f t="shared" si="1"/>
        <v>1</v>
      </c>
      <c r="K34">
        <f t="shared" si="2"/>
        <v>8</v>
      </c>
      <c r="AE34" s="1"/>
    </row>
    <row r="35" spans="1:31" x14ac:dyDescent="0.2">
      <c r="A35">
        <v>2</v>
      </c>
      <c r="B35" t="s">
        <v>7</v>
      </c>
      <c r="C35">
        <v>2</v>
      </c>
      <c r="D35" t="s">
        <v>12</v>
      </c>
      <c r="E35" t="s">
        <v>14</v>
      </c>
      <c r="F35">
        <v>67</v>
      </c>
      <c r="G35">
        <v>65</v>
      </c>
      <c r="I35" t="str">
        <f t="shared" si="0"/>
        <v>St. John's (NY)</v>
      </c>
      <c r="J35">
        <f t="shared" si="1"/>
        <v>7</v>
      </c>
      <c r="K35">
        <f t="shared" si="2"/>
        <v>5</v>
      </c>
      <c r="AE35" s="1"/>
    </row>
    <row r="36" spans="1:31" x14ac:dyDescent="0.2">
      <c r="A36">
        <v>2</v>
      </c>
      <c r="B36" t="s">
        <v>7</v>
      </c>
      <c r="C36">
        <v>3</v>
      </c>
      <c r="D36" t="s">
        <v>16</v>
      </c>
      <c r="E36" t="s">
        <v>18</v>
      </c>
      <c r="F36">
        <v>69</v>
      </c>
      <c r="G36">
        <v>77</v>
      </c>
      <c r="I36" t="str">
        <f t="shared" si="0"/>
        <v>Michigan State</v>
      </c>
      <c r="J36">
        <f t="shared" si="1"/>
        <v>7</v>
      </c>
      <c r="K36">
        <f t="shared" si="2"/>
        <v>9</v>
      </c>
    </row>
    <row r="37" spans="1:31" x14ac:dyDescent="0.2">
      <c r="A37">
        <v>2</v>
      </c>
      <c r="B37" t="s">
        <v>7</v>
      </c>
      <c r="C37">
        <v>4</v>
      </c>
      <c r="D37" t="s">
        <v>20</v>
      </c>
      <c r="E37" t="s">
        <v>22</v>
      </c>
      <c r="F37">
        <v>57</v>
      </c>
      <c r="G37">
        <v>73</v>
      </c>
      <c r="I37" t="str">
        <f t="shared" si="0"/>
        <v>Connecticut</v>
      </c>
      <c r="J37">
        <f t="shared" si="1"/>
        <v>3</v>
      </c>
      <c r="K37">
        <f t="shared" si="2"/>
        <v>7</v>
      </c>
    </row>
    <row r="38" spans="1:31" x14ac:dyDescent="0.2">
      <c r="A38">
        <v>2</v>
      </c>
      <c r="B38" t="s">
        <v>24</v>
      </c>
      <c r="C38">
        <v>5</v>
      </c>
      <c r="D38" t="s">
        <v>25</v>
      </c>
      <c r="E38" t="s">
        <v>28</v>
      </c>
      <c r="F38">
        <v>72</v>
      </c>
      <c r="G38">
        <v>73</v>
      </c>
      <c r="I38" t="str">
        <f t="shared" si="0"/>
        <v>Iowa</v>
      </c>
      <c r="J38">
        <f t="shared" si="1"/>
        <v>3</v>
      </c>
      <c r="K38">
        <f t="shared" si="2"/>
        <v>2</v>
      </c>
      <c r="AE38" s="1"/>
    </row>
    <row r="39" spans="1:31" x14ac:dyDescent="0.2">
      <c r="A39">
        <v>2</v>
      </c>
      <c r="B39" t="s">
        <v>24</v>
      </c>
      <c r="C39">
        <v>6</v>
      </c>
      <c r="D39" t="s">
        <v>29</v>
      </c>
      <c r="E39" t="s">
        <v>31</v>
      </c>
      <c r="F39">
        <v>72</v>
      </c>
      <c r="G39">
        <v>74</v>
      </c>
      <c r="I39" t="str">
        <f t="shared" si="0"/>
        <v>Nebraska</v>
      </c>
      <c r="J39">
        <f t="shared" si="1"/>
        <v>4</v>
      </c>
      <c r="K39">
        <f t="shared" si="2"/>
        <v>2</v>
      </c>
    </row>
    <row r="40" spans="1:31" x14ac:dyDescent="0.2">
      <c r="A40">
        <v>2</v>
      </c>
      <c r="B40" t="s">
        <v>24</v>
      </c>
      <c r="C40">
        <v>7</v>
      </c>
      <c r="D40" t="s">
        <v>34</v>
      </c>
      <c r="E40" t="s">
        <v>35</v>
      </c>
      <c r="F40">
        <v>55</v>
      </c>
      <c r="G40">
        <v>76</v>
      </c>
      <c r="I40" t="str">
        <f t="shared" si="0"/>
        <v>Illinois</v>
      </c>
      <c r="J40">
        <f t="shared" si="1"/>
        <v>6</v>
      </c>
      <c r="K40">
        <f t="shared" si="2"/>
        <v>5</v>
      </c>
    </row>
    <row r="41" spans="1:31" x14ac:dyDescent="0.2">
      <c r="A41">
        <v>2</v>
      </c>
      <c r="B41" t="s">
        <v>24</v>
      </c>
      <c r="C41">
        <v>8</v>
      </c>
      <c r="D41" t="s">
        <v>38</v>
      </c>
      <c r="E41" t="s">
        <v>39</v>
      </c>
      <c r="F41">
        <v>57</v>
      </c>
      <c r="G41">
        <v>88</v>
      </c>
      <c r="I41" t="str">
        <f t="shared" si="0"/>
        <v>Houston</v>
      </c>
      <c r="J41">
        <f t="shared" si="1"/>
        <v>8</v>
      </c>
      <c r="K41">
        <f t="shared" si="2"/>
        <v>7</v>
      </c>
    </row>
    <row r="42" spans="1:31" x14ac:dyDescent="0.2">
      <c r="A42">
        <v>2</v>
      </c>
      <c r="B42" t="s">
        <v>41</v>
      </c>
      <c r="C42">
        <v>9</v>
      </c>
      <c r="D42" t="s">
        <v>42</v>
      </c>
      <c r="E42" t="s">
        <v>45</v>
      </c>
      <c r="F42">
        <v>88</v>
      </c>
      <c r="G42">
        <v>94</v>
      </c>
      <c r="I42" t="str">
        <f t="shared" si="0"/>
        <v>Utah State</v>
      </c>
      <c r="J42">
        <f t="shared" si="1"/>
        <v>4</v>
      </c>
      <c r="K42">
        <f t="shared" si="2"/>
        <v>8</v>
      </c>
    </row>
    <row r="43" spans="1:31" x14ac:dyDescent="0.2">
      <c r="A43">
        <v>2</v>
      </c>
      <c r="B43" t="s">
        <v>41</v>
      </c>
      <c r="C43">
        <v>10</v>
      </c>
      <c r="D43" t="s">
        <v>47</v>
      </c>
      <c r="E43" t="s">
        <v>48</v>
      </c>
      <c r="F43">
        <v>74</v>
      </c>
      <c r="G43">
        <v>68</v>
      </c>
      <c r="I43" t="str">
        <f t="shared" si="0"/>
        <v>High Point</v>
      </c>
      <c r="J43">
        <f t="shared" si="1"/>
        <v>4</v>
      </c>
      <c r="K43">
        <f t="shared" si="2"/>
        <v>8</v>
      </c>
    </row>
    <row r="44" spans="1:31" x14ac:dyDescent="0.2">
      <c r="A44">
        <v>2</v>
      </c>
      <c r="B44" t="s">
        <v>41</v>
      </c>
      <c r="C44">
        <v>11</v>
      </c>
      <c r="D44" t="s">
        <v>51</v>
      </c>
      <c r="E44" t="s">
        <v>52</v>
      </c>
      <c r="F44">
        <v>74</v>
      </c>
      <c r="G44">
        <v>68</v>
      </c>
      <c r="I44" t="str">
        <f t="shared" si="0"/>
        <v>Texas</v>
      </c>
      <c r="J44">
        <f t="shared" si="1"/>
        <v>4</v>
      </c>
      <c r="K44">
        <f t="shared" si="2"/>
        <v>8</v>
      </c>
    </row>
    <row r="45" spans="1:31" x14ac:dyDescent="0.2">
      <c r="A45">
        <v>2</v>
      </c>
      <c r="B45" t="s">
        <v>41</v>
      </c>
      <c r="C45">
        <v>12</v>
      </c>
      <c r="D45" t="s">
        <v>54</v>
      </c>
      <c r="E45" t="s">
        <v>56</v>
      </c>
      <c r="F45">
        <v>69</v>
      </c>
      <c r="G45">
        <v>79</v>
      </c>
      <c r="I45" t="str">
        <f t="shared" si="0"/>
        <v>Purdue</v>
      </c>
      <c r="J45">
        <f t="shared" si="1"/>
        <v>9</v>
      </c>
      <c r="K45">
        <f t="shared" si="2"/>
        <v>9</v>
      </c>
    </row>
    <row r="46" spans="1:31" x14ac:dyDescent="0.2">
      <c r="A46">
        <v>2</v>
      </c>
      <c r="B46" t="s">
        <v>58</v>
      </c>
      <c r="C46">
        <v>13</v>
      </c>
      <c r="D46" t="s">
        <v>59</v>
      </c>
      <c r="E46" t="s">
        <v>62</v>
      </c>
      <c r="F46">
        <v>95</v>
      </c>
      <c r="G46">
        <v>72</v>
      </c>
      <c r="I46" t="str">
        <f t="shared" si="0"/>
        <v>Michigan</v>
      </c>
      <c r="J46">
        <f t="shared" si="1"/>
        <v>5</v>
      </c>
      <c r="K46">
        <f t="shared" si="2"/>
        <v>2</v>
      </c>
    </row>
    <row r="47" spans="1:31" x14ac:dyDescent="0.2">
      <c r="A47">
        <v>2</v>
      </c>
      <c r="B47" t="s">
        <v>58</v>
      </c>
      <c r="C47">
        <v>14</v>
      </c>
      <c r="D47" t="s">
        <v>63</v>
      </c>
      <c r="E47" t="s">
        <v>65</v>
      </c>
      <c r="F47">
        <v>65</v>
      </c>
      <c r="G47">
        <v>90</v>
      </c>
      <c r="I47" t="str">
        <f t="shared" si="0"/>
        <v>Alabama</v>
      </c>
      <c r="J47">
        <f t="shared" si="1"/>
        <v>0</v>
      </c>
      <c r="K47">
        <f t="shared" si="2"/>
        <v>5</v>
      </c>
    </row>
    <row r="48" spans="1:31" x14ac:dyDescent="0.2">
      <c r="A48">
        <v>2</v>
      </c>
      <c r="B48" t="s">
        <v>58</v>
      </c>
      <c r="C48">
        <v>15</v>
      </c>
      <c r="D48" t="s">
        <v>67</v>
      </c>
      <c r="E48" t="s">
        <v>69</v>
      </c>
      <c r="F48">
        <v>79</v>
      </c>
      <c r="G48">
        <v>72</v>
      </c>
      <c r="I48" t="str">
        <f t="shared" si="0"/>
        <v>Tennessee</v>
      </c>
      <c r="J48">
        <f t="shared" si="1"/>
        <v>9</v>
      </c>
      <c r="K48">
        <f t="shared" si="2"/>
        <v>2</v>
      </c>
    </row>
    <row r="49" spans="1:31" x14ac:dyDescent="0.2">
      <c r="A49">
        <v>2</v>
      </c>
      <c r="B49" t="s">
        <v>58</v>
      </c>
      <c r="C49">
        <v>16</v>
      </c>
      <c r="D49" t="s">
        <v>71</v>
      </c>
      <c r="E49" t="s">
        <v>73</v>
      </c>
      <c r="F49">
        <v>63</v>
      </c>
      <c r="G49">
        <v>82</v>
      </c>
      <c r="I49" t="str">
        <f t="shared" si="0"/>
        <v>Iowa State</v>
      </c>
      <c r="J49">
        <f t="shared" si="1"/>
        <v>2</v>
      </c>
      <c r="K49">
        <f t="shared" si="2"/>
        <v>3</v>
      </c>
      <c r="AE49" s="1"/>
    </row>
    <row r="50" spans="1:31" x14ac:dyDescent="0.2">
      <c r="A50">
        <v>3</v>
      </c>
      <c r="B50" t="s">
        <v>7</v>
      </c>
      <c r="C50">
        <v>1</v>
      </c>
      <c r="D50" t="s">
        <v>8</v>
      </c>
      <c r="E50" t="s">
        <v>12</v>
      </c>
      <c r="F50">
        <v>80</v>
      </c>
      <c r="G50">
        <v>75</v>
      </c>
      <c r="I50" t="str">
        <f t="shared" si="0"/>
        <v>Duke</v>
      </c>
      <c r="J50">
        <f t="shared" si="1"/>
        <v>0</v>
      </c>
      <c r="K50">
        <f t="shared" si="2"/>
        <v>5</v>
      </c>
    </row>
    <row r="51" spans="1:31" x14ac:dyDescent="0.2">
      <c r="A51">
        <v>3</v>
      </c>
      <c r="B51" t="s">
        <v>7</v>
      </c>
      <c r="C51">
        <v>2</v>
      </c>
      <c r="D51" t="s">
        <v>18</v>
      </c>
      <c r="E51" t="s">
        <v>22</v>
      </c>
      <c r="F51">
        <v>63</v>
      </c>
      <c r="G51">
        <v>67</v>
      </c>
      <c r="I51" t="str">
        <f t="shared" si="0"/>
        <v>Connecticut</v>
      </c>
      <c r="J51">
        <f t="shared" si="1"/>
        <v>7</v>
      </c>
      <c r="K51">
        <f t="shared" si="2"/>
        <v>3</v>
      </c>
    </row>
    <row r="52" spans="1:31" x14ac:dyDescent="0.2">
      <c r="A52">
        <v>3</v>
      </c>
      <c r="B52" t="s">
        <v>24</v>
      </c>
      <c r="C52">
        <v>3</v>
      </c>
      <c r="D52" t="s">
        <v>28</v>
      </c>
      <c r="E52" t="s">
        <v>31</v>
      </c>
      <c r="F52">
        <v>77</v>
      </c>
      <c r="G52">
        <v>71</v>
      </c>
      <c r="I52" t="str">
        <f t="shared" si="0"/>
        <v>Iowa</v>
      </c>
      <c r="J52">
        <f t="shared" si="1"/>
        <v>7</v>
      </c>
      <c r="K52">
        <f t="shared" si="2"/>
        <v>1</v>
      </c>
    </row>
    <row r="53" spans="1:31" x14ac:dyDescent="0.2">
      <c r="A53">
        <v>3</v>
      </c>
      <c r="B53" t="s">
        <v>24</v>
      </c>
      <c r="C53">
        <v>4</v>
      </c>
      <c r="D53" t="s">
        <v>35</v>
      </c>
      <c r="E53" t="s">
        <v>39</v>
      </c>
      <c r="F53">
        <v>65</v>
      </c>
      <c r="G53">
        <v>55</v>
      </c>
      <c r="I53" t="str">
        <f t="shared" si="0"/>
        <v>Illinois</v>
      </c>
      <c r="J53">
        <f t="shared" si="1"/>
        <v>5</v>
      </c>
      <c r="K53">
        <f t="shared" si="2"/>
        <v>5</v>
      </c>
    </row>
    <row r="54" spans="1:31" x14ac:dyDescent="0.2">
      <c r="A54">
        <v>3</v>
      </c>
      <c r="B54" t="s">
        <v>41</v>
      </c>
      <c r="C54">
        <v>5</v>
      </c>
      <c r="D54" t="s">
        <v>42</v>
      </c>
      <c r="E54" t="s">
        <v>48</v>
      </c>
      <c r="F54">
        <v>109</v>
      </c>
      <c r="G54">
        <v>88</v>
      </c>
      <c r="I54" t="str">
        <f t="shared" si="0"/>
        <v>Arizona</v>
      </c>
      <c r="J54">
        <f t="shared" si="1"/>
        <v>9</v>
      </c>
      <c r="K54">
        <f t="shared" si="2"/>
        <v>8</v>
      </c>
    </row>
    <row r="55" spans="1:31" x14ac:dyDescent="0.2">
      <c r="A55">
        <v>3</v>
      </c>
      <c r="B55" t="s">
        <v>41</v>
      </c>
      <c r="C55">
        <v>6</v>
      </c>
      <c r="D55" t="s">
        <v>51</v>
      </c>
      <c r="E55" t="s">
        <v>56</v>
      </c>
      <c r="F55">
        <v>77</v>
      </c>
      <c r="G55">
        <v>79</v>
      </c>
      <c r="I55" t="str">
        <f t="shared" si="0"/>
        <v>Purdue</v>
      </c>
      <c r="J55">
        <f t="shared" si="1"/>
        <v>9</v>
      </c>
      <c r="K55">
        <f t="shared" si="2"/>
        <v>7</v>
      </c>
    </row>
    <row r="56" spans="1:31" x14ac:dyDescent="0.2">
      <c r="A56">
        <v>3</v>
      </c>
      <c r="B56" t="s">
        <v>58</v>
      </c>
      <c r="C56">
        <v>7</v>
      </c>
      <c r="D56" t="s">
        <v>59</v>
      </c>
      <c r="E56" t="s">
        <v>65</v>
      </c>
      <c r="F56">
        <v>90</v>
      </c>
      <c r="G56">
        <v>77</v>
      </c>
      <c r="I56" t="str">
        <f t="shared" si="0"/>
        <v>Michigan</v>
      </c>
      <c r="J56">
        <f t="shared" si="1"/>
        <v>0</v>
      </c>
      <c r="K56">
        <f t="shared" si="2"/>
        <v>7</v>
      </c>
    </row>
    <row r="57" spans="1:31" x14ac:dyDescent="0.2">
      <c r="A57">
        <v>3</v>
      </c>
      <c r="B57" t="s">
        <v>58</v>
      </c>
      <c r="C57">
        <v>8</v>
      </c>
      <c r="D57" t="s">
        <v>67</v>
      </c>
      <c r="E57" t="s">
        <v>73</v>
      </c>
      <c r="F57">
        <v>76</v>
      </c>
      <c r="G57">
        <v>62</v>
      </c>
      <c r="I57" t="str">
        <f t="shared" si="0"/>
        <v>Tennessee</v>
      </c>
      <c r="J57">
        <f t="shared" si="1"/>
        <v>6</v>
      </c>
      <c r="K57">
        <f t="shared" si="2"/>
        <v>2</v>
      </c>
    </row>
    <row r="58" spans="1:31" x14ac:dyDescent="0.2">
      <c r="A58">
        <v>4</v>
      </c>
      <c r="B58" t="s">
        <v>7</v>
      </c>
      <c r="C58">
        <v>1</v>
      </c>
      <c r="I58" t="str">
        <f t="shared" si="0"/>
        <v/>
      </c>
      <c r="J58" t="str">
        <f t="shared" si="1"/>
        <v/>
      </c>
      <c r="K58" t="str">
        <f t="shared" si="2"/>
        <v/>
      </c>
    </row>
    <row r="59" spans="1:31" x14ac:dyDescent="0.2">
      <c r="A59">
        <v>4</v>
      </c>
      <c r="B59" t="s">
        <v>24</v>
      </c>
      <c r="C59">
        <v>2</v>
      </c>
      <c r="I59" t="str">
        <f t="shared" si="0"/>
        <v/>
      </c>
      <c r="J59" t="str">
        <f t="shared" si="1"/>
        <v/>
      </c>
      <c r="K59" t="str">
        <f t="shared" si="2"/>
        <v/>
      </c>
    </row>
    <row r="60" spans="1:31" x14ac:dyDescent="0.2">
      <c r="A60">
        <v>4</v>
      </c>
      <c r="B60" t="s">
        <v>41</v>
      </c>
      <c r="C60">
        <v>3</v>
      </c>
      <c r="I60" t="str">
        <f t="shared" si="0"/>
        <v/>
      </c>
      <c r="J60" t="str">
        <f t="shared" si="1"/>
        <v/>
      </c>
      <c r="K60" t="str">
        <f t="shared" si="2"/>
        <v/>
      </c>
    </row>
    <row r="61" spans="1:31" x14ac:dyDescent="0.2">
      <c r="A61">
        <v>4</v>
      </c>
      <c r="B61" t="s">
        <v>58</v>
      </c>
      <c r="C61">
        <v>4</v>
      </c>
      <c r="I61" t="str">
        <f t="shared" si="0"/>
        <v/>
      </c>
      <c r="J61" t="str">
        <f t="shared" si="1"/>
        <v/>
      </c>
      <c r="K61" t="str">
        <f t="shared" si="2"/>
        <v/>
      </c>
    </row>
    <row r="62" spans="1:31" x14ac:dyDescent="0.2">
      <c r="A62">
        <v>5</v>
      </c>
      <c r="B62" t="s">
        <v>75</v>
      </c>
      <c r="C62">
        <v>1</v>
      </c>
      <c r="I62" t="str">
        <f t="shared" si="0"/>
        <v/>
      </c>
      <c r="J62" t="str">
        <f t="shared" si="1"/>
        <v/>
      </c>
      <c r="K62" t="str">
        <f t="shared" si="2"/>
        <v/>
      </c>
    </row>
    <row r="63" spans="1:31" x14ac:dyDescent="0.2">
      <c r="A63">
        <v>5</v>
      </c>
      <c r="B63" t="s">
        <v>75</v>
      </c>
      <c r="C63">
        <v>2</v>
      </c>
      <c r="I63" t="str">
        <f t="shared" si="0"/>
        <v/>
      </c>
      <c r="J63" t="str">
        <f t="shared" si="1"/>
        <v/>
      </c>
      <c r="K63" t="str">
        <f t="shared" si="2"/>
        <v/>
      </c>
    </row>
    <row r="64" spans="1:31" x14ac:dyDescent="0.2">
      <c r="A64">
        <v>6</v>
      </c>
      <c r="B64" t="s">
        <v>76</v>
      </c>
      <c r="C64">
        <v>1</v>
      </c>
      <c r="I64" t="str">
        <f t="shared" si="0"/>
        <v/>
      </c>
      <c r="J64" t="str">
        <f t="shared" si="1"/>
        <v/>
      </c>
      <c r="K64" t="str">
        <f t="shared" si="2"/>
        <v/>
      </c>
    </row>
    <row r="65" spans="1:11" x14ac:dyDescent="0.2">
      <c r="A65">
        <v>7</v>
      </c>
      <c r="B65" t="s">
        <v>77</v>
      </c>
      <c r="C65">
        <v>1</v>
      </c>
      <c r="I65" t="str">
        <f t="shared" si="0"/>
        <v/>
      </c>
      <c r="J65" t="str">
        <f t="shared" si="1"/>
        <v/>
      </c>
      <c r="K65" t="str">
        <f t="shared" si="2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Taylor</dc:creator>
  <cp:lastModifiedBy>Matt Taylor</cp:lastModifiedBy>
  <dcterms:created xsi:type="dcterms:W3CDTF">2026-03-20T21:58:45Z</dcterms:created>
  <dcterms:modified xsi:type="dcterms:W3CDTF">2026-03-28T12:20:13Z</dcterms:modified>
</cp:coreProperties>
</file>